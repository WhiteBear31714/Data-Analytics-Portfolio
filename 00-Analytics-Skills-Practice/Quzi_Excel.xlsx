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xcel_analyst\"/>
    </mc:Choice>
  </mc:AlternateContent>
  <xr:revisionPtr revIDLastSave="0" documentId="13_ncr:1_{5456473B-7F4A-4795-8153-F83F917F4079}" xr6:coauthVersionLast="47" xr6:coauthVersionMax="47" xr10:uidLastSave="{00000000-0000-0000-0000-000000000000}"/>
  <bookViews>
    <workbookView xWindow="-103" yWindow="-103" windowWidth="24892" windowHeight="14914" tabRatio="667" activeTab="4" xr2:uid="{EEBDBFF4-476F-4D31-9A9E-8378B8695B58}"/>
  </bookViews>
  <sheets>
    <sheet name="Q1_VLOOKUP" sheetId="4" r:id="rId1"/>
    <sheet name="Q2_SUM" sheetId="3" r:id="rId2"/>
    <sheet name="Q3_VLOOKUP" sheetId="2" r:id="rId3"/>
    <sheet name="Q4_COUNTIF" sheetId="1" r:id="rId4"/>
    <sheet name="Q5_LEFT_FINE" sheetId="6" r:id="rId5"/>
  </sheets>
  <definedNames>
    <definedName name="ExternalData_1" localSheetId="2" hidden="1">Q3_VLOOKUP!$A$1:$D$6</definedName>
    <definedName name="ExternalData_2" localSheetId="1" hidden="1">Q2_SUM!$A$1:$C$14</definedName>
    <definedName name="ExternalData_3" localSheetId="0" hidden="1">Q1_VLOOKUP!#REF!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6" l="1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E127" i="6"/>
  <c r="E128" i="6"/>
  <c r="E129" i="6"/>
  <c r="E130" i="6"/>
  <c r="E131" i="6"/>
  <c r="E132" i="6"/>
  <c r="E133" i="6"/>
  <c r="E134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48" i="6"/>
  <c r="E49" i="6"/>
  <c r="E50" i="6"/>
  <c r="E51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26" i="6"/>
  <c r="E27" i="6"/>
  <c r="E28" i="6"/>
  <c r="E29" i="6"/>
  <c r="E30" i="6"/>
  <c r="E31" i="6"/>
  <c r="E32" i="6"/>
  <c r="E3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F3" i="6"/>
  <c r="E3" i="6"/>
  <c r="L7" i="1" a="1"/>
  <c r="L7" i="1"/>
  <c r="L18" i="1" a="1"/>
  <c r="L18" i="1" s="1"/>
  <c r="L12" i="1"/>
  <c r="L11" i="1"/>
  <c r="L10" i="1"/>
  <c r="L6" i="1"/>
  <c r="L5" i="1"/>
  <c r="L4" i="1"/>
  <c r="L3" i="1"/>
  <c r="D2" i="4"/>
  <c r="C14" i="3"/>
  <c r="B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CF939C-6FB3-4132-B646-B748AF182B8D}" keepAlive="1" name="Query - Table009 (Page 9) (2)" description="Connection to the 'Table009 (Page 9) (2)' query in the workbook." type="5" refreshedVersion="8" background="1" saveData="1">
    <dbPr connection="Provider=Microsoft.Mashup.OleDb.1;Data Source=$Workbook$;Location=&quot;Table009 (Page 9) (2)&quot;;Extended Properties=&quot;&quot;" command="SELECT * FROM [Table009 (Page 9) (2)]"/>
  </connection>
  <connection id="2" xr16:uid="{51AB62B1-91E7-4F65-80B7-49CF78D2288F}" keepAlive="1" name="Query - Table010 (Page 10)" description="Connection to the 'Table010 (Page 10)' query in the workbook." type="5" refreshedVersion="8" background="1" saveData="1">
    <dbPr connection="Provider=Microsoft.Mashup.OleDb.1;Data Source=$Workbook$;Location=&quot;Table010 (Page 10)&quot;;Extended Properties=&quot;&quot;" command="SELECT * FROM [Table010 (Page 10)]"/>
  </connection>
  <connection id="3" xr16:uid="{A72FE9C9-8427-4CF7-A16F-425E93085C58}" keepAlive="1" name="Query - Table011 (Page 11)" description="Connection to the 'Table011 (Page 11)' query in the workbook." type="5" refreshedVersion="0" background="1">
    <dbPr connection="Provider=Microsoft.Mashup.OleDb.1;Data Source=$Workbook$;Location=&quot;Table011 (Page 11)&quot;;Extended Properties=&quot;&quot;" command="SELECT * FROM [Table011 (Page 1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<sst xmlns="http://schemas.openxmlformats.org/spreadsheetml/2006/main" count="921" uniqueCount="348">
  <si>
    <t>ลำดับ</t>
  </si>
  <si>
    <t>ชื่อพนักงาน</t>
  </si>
  <si>
    <t>แผนก</t>
  </si>
  <si>
    <t>เงินเดือน</t>
  </si>
  <si>
    <t>1</t>
  </si>
  <si>
    <t>สมชาย</t>
  </si>
  <si>
    <t>การเงิน</t>
  </si>
  <si>
    <t>2</t>
  </si>
  <si>
    <t>บุษบา</t>
  </si>
  <si>
    <t>การตลาด</t>
  </si>
  <si>
    <t>3</t>
  </si>
  <si>
    <t>กิตติ</t>
  </si>
  <si>
    <t>ไอที</t>
  </si>
  <si>
    <t>4</t>
  </si>
  <si>
    <t>วรัญญา</t>
  </si>
  <si>
    <t>ฝ่ายบุคคล</t>
  </si>
  <si>
    <t/>
  </si>
  <si>
    <t>ชื่อ</t>
  </si>
  <si>
    <t>Quarter</t>
  </si>
  <si>
    <t>Year</t>
  </si>
  <si>
    <t>SaleVolume</t>
  </si>
  <si>
    <t>2022</t>
  </si>
  <si>
    <t>2023</t>
  </si>
  <si>
    <t>2024</t>
  </si>
  <si>
    <t>ผลรวมเฉพาะไตรมาส 1</t>
  </si>
  <si>
    <t>คะแนน</t>
  </si>
  <si>
    <t>เกรด</t>
  </si>
  <si>
    <t>F</t>
  </si>
  <si>
    <t>D</t>
  </si>
  <si>
    <t>A</t>
  </si>
  <si>
    <t>C</t>
  </si>
  <si>
    <t>B</t>
  </si>
  <si>
    <t>&lt;= พิมพ์คะแนน</t>
  </si>
  <si>
    <t>60 - 69</t>
  </si>
  <si>
    <t>0 - 49</t>
  </si>
  <si>
    <t>50 - 59</t>
  </si>
  <si>
    <t>70 - 79</t>
  </si>
  <si>
    <t>80 - 100</t>
  </si>
  <si>
    <t>Timestamp</t>
  </si>
  <si>
    <t>Your Academic Stage</t>
  </si>
  <si>
    <t>Peer pressure</t>
  </si>
  <si>
    <t>Academic pressure from your home</t>
  </si>
  <si>
    <t>Study Environment</t>
  </si>
  <si>
    <t>What coping strategy you use as a student?</t>
  </si>
  <si>
    <t>Do you have any bad habits like smoking, drinking on a daily basis?</t>
  </si>
  <si>
    <t>What would you rate the academic competition in your student life</t>
  </si>
  <si>
    <t>Rate your academic stress index</t>
  </si>
  <si>
    <t>24/07/2025 22:05:39</t>
  </si>
  <si>
    <t>undergraduate</t>
  </si>
  <si>
    <t>Noisy</t>
  </si>
  <si>
    <t>Analyze the situation and handle it with intellect</t>
  </si>
  <si>
    <t>No</t>
  </si>
  <si>
    <t>24/07/2025 22:05:52</t>
  </si>
  <si>
    <t>Peaceful</t>
  </si>
  <si>
    <t>24/07/2025 22:06:39</t>
  </si>
  <si>
    <t>Social support (friends, family)</t>
  </si>
  <si>
    <t>24/07/2025 22:06:45</t>
  </si>
  <si>
    <t>24/07/2025 22:08:06</t>
  </si>
  <si>
    <t>24/07/2025 22:08:13</t>
  </si>
  <si>
    <t>24/07/2025 22:09:21</t>
  </si>
  <si>
    <t>disrupted</t>
  </si>
  <si>
    <t>Emotional breakdown (crying a lot)</t>
  </si>
  <si>
    <t>24/07/2025 22:10:06</t>
  </si>
  <si>
    <t>24/07/2025 22:11:01</t>
  </si>
  <si>
    <t>24/07/2025 22:11:19</t>
  </si>
  <si>
    <t>24/07/2025 22:12:12</t>
  </si>
  <si>
    <t>24/07/2025 22:12:24</t>
  </si>
  <si>
    <t>24/07/2025 22:12:27</t>
  </si>
  <si>
    <t>24/07/2025 22:12:48</t>
  </si>
  <si>
    <t>24/07/2025 22:14:16</t>
  </si>
  <si>
    <t>prefer not to say</t>
  </si>
  <si>
    <t>24/07/2025 22:15:06</t>
  </si>
  <si>
    <t>24/07/2025 22:15:39</t>
  </si>
  <si>
    <t>24/07/2025 22:16:10</t>
  </si>
  <si>
    <t>24/07/2025 22:16:53</t>
  </si>
  <si>
    <t>24/07/2025 22:17:46</t>
  </si>
  <si>
    <t>24/07/2025 22:18:02</t>
  </si>
  <si>
    <t>24/07/2025 22:18:44</t>
  </si>
  <si>
    <t>24/07/2025 22:18:55</t>
  </si>
  <si>
    <t>24/07/2025 22:18:58</t>
  </si>
  <si>
    <t>24/07/2025 22:19:06</t>
  </si>
  <si>
    <t>24/07/2025 22:19:22</t>
  </si>
  <si>
    <t>24/07/2025 22:19:25</t>
  </si>
  <si>
    <t>Yes</t>
  </si>
  <si>
    <t>24/07/2025 22:19:33</t>
  </si>
  <si>
    <t>high school</t>
  </si>
  <si>
    <t>24/07/2025 22:19:51</t>
  </si>
  <si>
    <t>24/07/2025 22:20:28</t>
  </si>
  <si>
    <t>24/07/2025 22:21:04</t>
  </si>
  <si>
    <t>24/07/2025 22:23:15</t>
  </si>
  <si>
    <t>24/07/2025 22:24:13</t>
  </si>
  <si>
    <t>24/07/2025 22:24:53</t>
  </si>
  <si>
    <t>24/07/2025 22:25:17</t>
  </si>
  <si>
    <t>24/07/2025 22:25:27</t>
  </si>
  <si>
    <t>24/07/2025 22:25:41</t>
  </si>
  <si>
    <t>24/07/2025 22:28:58</t>
  </si>
  <si>
    <t>24/07/2025 22:29:26</t>
  </si>
  <si>
    <t>24/07/2025 22:30:29</t>
  </si>
  <si>
    <t>24/07/2025 22:32:22</t>
  </si>
  <si>
    <t>24/07/2025 22:32:36</t>
  </si>
  <si>
    <t>post-graduate</t>
  </si>
  <si>
    <t>24/07/2025 22:32:37</t>
  </si>
  <si>
    <t>24/07/2025 22:33:48</t>
  </si>
  <si>
    <t>24/07/2025 22:34:34</t>
  </si>
  <si>
    <t>24/07/2025 22:34:41</t>
  </si>
  <si>
    <t>24/07/2025 22:34:53</t>
  </si>
  <si>
    <t>24/07/2025 22:38:47</t>
  </si>
  <si>
    <t>24/07/2025 22:39:36</t>
  </si>
  <si>
    <t>24/07/2025 22:41:41</t>
  </si>
  <si>
    <t>24/07/2025 22:42:11</t>
  </si>
  <si>
    <t>24/07/2025 22:42:25</t>
  </si>
  <si>
    <t>24/07/2025 22:42:48</t>
  </si>
  <si>
    <t>24/07/2025 22:44:07</t>
  </si>
  <si>
    <t>24/07/2025 22:44:50</t>
  </si>
  <si>
    <t>24/07/2025 23:01:02</t>
  </si>
  <si>
    <t>24/07/2025 23:02:49</t>
  </si>
  <si>
    <t>24/07/2025 23:03:10</t>
  </si>
  <si>
    <t>24/07/2025 23:04:01</t>
  </si>
  <si>
    <t>24/07/2025 23:15:48</t>
  </si>
  <si>
    <t>24/07/2025 23:22:17</t>
  </si>
  <si>
    <t>24/07/2025 23:31:01</t>
  </si>
  <si>
    <t>24/07/2025 23:32:26</t>
  </si>
  <si>
    <t>24/07/2025 23:36:22</t>
  </si>
  <si>
    <t>24/07/2025 23:44:35</t>
  </si>
  <si>
    <t>25/07/2025 00:10:10</t>
  </si>
  <si>
    <t>25/07/2025 00:13:46</t>
  </si>
  <si>
    <t>25/07/2025 00:21:30</t>
  </si>
  <si>
    <t>25/07/2025 00:21:38</t>
  </si>
  <si>
    <t>25/07/2025 08:13:01</t>
  </si>
  <si>
    <t>25/07/2025 08:42:22</t>
  </si>
  <si>
    <t>25/07/2025 10:30:12</t>
  </si>
  <si>
    <t>25/07/2025 10:37:39</t>
  </si>
  <si>
    <t>25/07/2025 10:43:24</t>
  </si>
  <si>
    <t>25/07/2025 11:00:10</t>
  </si>
  <si>
    <t>25/07/2025 11:06:32</t>
  </si>
  <si>
    <t>25/07/2025 11:06:40</t>
  </si>
  <si>
    <t>25/07/2025 11:47:24</t>
  </si>
  <si>
    <t>25/07/2025 13:17:44</t>
  </si>
  <si>
    <t>25/07/2025 13:18:47</t>
  </si>
  <si>
    <t>25/07/2025 13:38:10</t>
  </si>
  <si>
    <t>25/07/2025 16:00:32</t>
  </si>
  <si>
    <t>25/07/2025 16:04:38</t>
  </si>
  <si>
    <t>25/07/2025 16:31:45</t>
  </si>
  <si>
    <t>25/07/2025 17:08:00</t>
  </si>
  <si>
    <t>25/07/2025 17:51:17</t>
  </si>
  <si>
    <t>25/07/2025 18:18:38</t>
  </si>
  <si>
    <t>25/07/2025 18:27:24</t>
  </si>
  <si>
    <t>25/07/2025 19:34:59</t>
  </si>
  <si>
    <t>25/07/2025 20:37:52</t>
  </si>
  <si>
    <t>25/07/2025 23:34:18</t>
  </si>
  <si>
    <t>25/07/2025 23:39:15</t>
  </si>
  <si>
    <t>26/07/2025 07:25:43</t>
  </si>
  <si>
    <t>26/07/2025 07:33:35</t>
  </si>
  <si>
    <t>26/07/2025 07:34:28</t>
  </si>
  <si>
    <t>26/07/2025 07:50:38</t>
  </si>
  <si>
    <t>26/07/2025 08:13:18</t>
  </si>
  <si>
    <t>26/07/2025 08:25:17</t>
  </si>
  <si>
    <t>26/07/2025 08:25:18</t>
  </si>
  <si>
    <t>26/07/2025 08:27:10</t>
  </si>
  <si>
    <t>26/07/2025 08:40:35</t>
  </si>
  <si>
    <t>26/07/2025 08:57:40</t>
  </si>
  <si>
    <t>26/07/2025 09:28:08</t>
  </si>
  <si>
    <t>26/07/2025 09:36:09</t>
  </si>
  <si>
    <t>26/07/2025 09:47:04</t>
  </si>
  <si>
    <t>26/07/2025 09:56:32</t>
  </si>
  <si>
    <t>26/07/2025 10:01:33</t>
  </si>
  <si>
    <t>26/07/2025 10:04:32</t>
  </si>
  <si>
    <t>26/07/2025 10:38:24</t>
  </si>
  <si>
    <t>26/07/2025 10:39:37</t>
  </si>
  <si>
    <t>26/07/2025 11:36:30</t>
  </si>
  <si>
    <t>26/07/2025 13:39:21</t>
  </si>
  <si>
    <t>26/07/2025 14:21:53</t>
  </si>
  <si>
    <t>26/07/2025 14:23:45</t>
  </si>
  <si>
    <t>26/07/2025 18:45:13</t>
  </si>
  <si>
    <t>26/07/2025 21:37:46</t>
  </si>
  <si>
    <t>26/07/2025 22:11:02</t>
  </si>
  <si>
    <t>27/07/2025 13:45:00</t>
  </si>
  <si>
    <t>27/07/2025 22:56:54</t>
  </si>
  <si>
    <t>30/07/2025 06:43:55</t>
  </si>
  <si>
    <t>30/07/2025 16:02:16</t>
  </si>
  <si>
    <t>11/8/25 12:15</t>
  </si>
  <si>
    <t>11/8/25 18:07</t>
  </si>
  <si>
    <t>11/8/25 19:29</t>
  </si>
  <si>
    <t>12/8/25 2:28</t>
  </si>
  <si>
    <t>12/8/25 8:11</t>
  </si>
  <si>
    <t>12/8/25 8:49</t>
  </si>
  <si>
    <t>12/8/25 8:56</t>
  </si>
  <si>
    <t>12/8/25 10:03</t>
  </si>
  <si>
    <t>12/8/25 12:13</t>
  </si>
  <si>
    <t>12/8/25 13:16</t>
  </si>
  <si>
    <t>12/8/25 15:01</t>
  </si>
  <si>
    <t>13/08/2025 21:45:58</t>
  </si>
  <si>
    <t>14/08/2025 06:10:01</t>
  </si>
  <si>
    <t>14/08/2025 21:06:15</t>
  </si>
  <si>
    <t>17/08/2025 13:02:04</t>
  </si>
  <si>
    <t>18/08/2025 14:36:00</t>
  </si>
  <si>
    <t>18/08/2025 17:13:52</t>
  </si>
  <si>
    <t>18/08/2025 19:08:52</t>
  </si>
  <si>
    <t>18/08/2025 22:40:13</t>
  </si>
  <si>
    <t>จำนวนผู้ตอบแบบสอบถามทั้งหมด</t>
  </si>
  <si>
    <t>จำนวนผู้ตอบระดับปริญญาตรี</t>
  </si>
  <si>
    <t>จำนวนผู้ตอบระดับสูงกว่าปริญญาตรี</t>
  </si>
  <si>
    <t>จำนวนผู้ตอบระดับมัธยมปลาย</t>
  </si>
  <si>
    <t>วิธีแก้ความกดดันใด นิยมมากที่สุดสำหรับนักศึกษาปริญญาตรี</t>
  </si>
  <si>
    <t>ค่าเฉลี่ยแรงกดดันจากที่บ้าน:</t>
  </si>
  <si>
    <t xml:space="preserve">   ผู้ตอบระดับปริญญาตรี</t>
  </si>
  <si>
    <t xml:space="preserve">   ผู้ตอบระดับสูงกว่าปริญญาตรี</t>
  </si>
  <si>
    <t xml:space="preserve">   ผู้ตอบระดับมัธยมปลาย</t>
  </si>
  <si>
    <t>ใช้ FILTER เพื่อกรองข้อมูลที่ต้องการแสดง</t>
  </si>
  <si>
    <t>ระดับการศึกษา</t>
  </si>
  <si>
    <t>วันเวลา</t>
  </si>
  <si>
    <t>โจทย์หน้า 38 - แปลง Email จาก SILPAKORN.EDU เป็น SU.AC.TH</t>
  </si>
  <si>
    <t>อีเมล @silpakorn.edu</t>
  </si>
  <si>
    <t>นามสกุลภาษาอังกฤษ</t>
  </si>
  <si>
    <t>อีเมล @su.ac.th</t>
  </si>
  <si>
    <t>GAMNARAI_W@SILPAKORN.EDU</t>
  </si>
  <si>
    <t>WATTANAPOKAYAKI_K@SILPAKORN.EDU</t>
  </si>
  <si>
    <t>SRICHOMPHOL_P@SILPAKORN.EDU</t>
  </si>
  <si>
    <t>หมายเหตุ: พิมพ์นามสกุลภาษาอังกฤษ (ตัวพิมพ์ใหญ่) ในช่อง E3 เพื่อค้นหาอีเมล @su.ac.th</t>
  </si>
  <si>
    <t>SAMNIENGYEN_W@SILPAKORN.EDU</t>
  </si>
  <si>
    <t>WANRUANGRONG_P@SILPAKORN.EDU</t>
  </si>
  <si>
    <t>THONGJAN_P@SILPAKORN.EDU</t>
  </si>
  <si>
    <t>KHONGRITH_P@SILPAKORN.EDU</t>
  </si>
  <si>
    <t>WIANTIANG_P@SILPAKORN.EDU</t>
  </si>
  <si>
    <t>PHIMOON_A@SILPAKORN.EDU</t>
  </si>
  <si>
    <t>THONGSIRI_J@SILPAKORN.EDU</t>
  </si>
  <si>
    <t>JANAIAD_C@SILPAKORN.EDU</t>
  </si>
  <si>
    <t>KAEWKHAISAENG_P@SILPAKORN.EDU</t>
  </si>
  <si>
    <t>KAEWCHAT_P2@SILPAKORN.EDU</t>
  </si>
  <si>
    <t>SANGTHONG_M2@SILPAKORN.EDU</t>
  </si>
  <si>
    <t>TONGCHAI_W@SILPAKORN.EDU</t>
  </si>
  <si>
    <t>OBOUN_S@SILPAKORN.EDU</t>
  </si>
  <si>
    <t>KETAM_S@SILPAKORN.EDU</t>
  </si>
  <si>
    <t>AIAMSAARD_K@SILPAKORN.EDU</t>
  </si>
  <si>
    <t>SANGARUN_K@SILPAKORN.EDU</t>
  </si>
  <si>
    <t>SANGCHAN_K@SILPAKORN.EDU</t>
  </si>
  <si>
    <t>AJWONGSA_K@SILPAKORN.EDU</t>
  </si>
  <si>
    <t>JAMPA_K@SILPAKORN.EDU</t>
  </si>
  <si>
    <t>JOOLAM_K@SILPAKORN.EDU</t>
  </si>
  <si>
    <t>CHANAPHIRAK_K@SILPAKORN.EDU</t>
  </si>
  <si>
    <t>NALUAN_J@SILPAKORN.EDU</t>
  </si>
  <si>
    <t>SANGPROMMA_C@SILPAKORN.EDU</t>
  </si>
  <si>
    <t>SOMRUNJIT_C@SILPAKORN.EDU</t>
  </si>
  <si>
    <t>REAMTHAISONG_C@SILPAKORN.EDU</t>
  </si>
  <si>
    <t>NGIWTHONG_C@SILPAKORN.EDU</t>
  </si>
  <si>
    <t>PHONGAM_Y@SILPAKORN.EDU</t>
  </si>
  <si>
    <t>SUKSUNGNOEN_T@SILPAKORN.EDU</t>
  </si>
  <si>
    <t>PUENGBANG_N@SILPAKORN.EDU</t>
  </si>
  <si>
    <t>SRISUK_N8@SILPAKORN.EDU</t>
  </si>
  <si>
    <t>KLOMSAKUN_T2@SILPAKORN.EDU</t>
  </si>
  <si>
    <t>SRIWASUT_T2@SILPAKORN.EDU</t>
  </si>
  <si>
    <t>TINKAN_T@SILPAKORN.EDU</t>
  </si>
  <si>
    <t>BOONTEIM_T@SILPAKORN.EDU</t>
  </si>
  <si>
    <t>SANHAN_T@SILPAKORN.EDU</t>
  </si>
  <si>
    <t>PETDUL_T@SILPAKORN.EDU</t>
  </si>
  <si>
    <t>BOONPHUEAN_N@SILPAKORN.EDU</t>
  </si>
  <si>
    <t>CHUSING_B@SILPAKORN.EDU</t>
  </si>
  <si>
    <t>SUKSOMBAT_B@SILPAKORN.EDU</t>
  </si>
  <si>
    <t>WANTHONG_P2@SILPAKORN.EDU</t>
  </si>
  <si>
    <t>CHOEDSAENG_P@SILPAKORN.EDU</t>
  </si>
  <si>
    <t>PIMNUCH_P@SILPAKORN.EDU</t>
  </si>
  <si>
    <t>PINGO_P@SILPAKORN.EDU</t>
  </si>
  <si>
    <t>SUKJIRANG_P@SILPAKORN.EDU</t>
  </si>
  <si>
    <t>SURASINGKRAISON_P@SILPAKORN.EDU</t>
  </si>
  <si>
    <t>POOLSUKHO_P@SILPAKORN.EDU</t>
  </si>
  <si>
    <t>CHADNORASET_P@SILPAKORN.EDU</t>
  </si>
  <si>
    <t>SRICHANKEN_P@SILPAKORN.EDU</t>
  </si>
  <si>
    <t>CHAROENPON_F@SILPAKORN.EDU</t>
  </si>
  <si>
    <t>KITWIRIYAPAPORN_P@SILPAKORN.EDU</t>
  </si>
  <si>
    <t>KASEM_P2@SILPAKORN.EDU</t>
  </si>
  <si>
    <t>YUANTORWONG_M@SILPAKORN.EDU</t>
  </si>
  <si>
    <t>BOONMEE_M2@SILPAKORN.EDU</t>
  </si>
  <si>
    <t>PONGWAT_M@SILPAKORN.EDU</t>
  </si>
  <si>
    <t>KRUTTAMKHAM_W@SILPAKORN.EDU</t>
  </si>
  <si>
    <t>PHONPASEE_W@SILPAKORN.EDU</t>
  </si>
  <si>
    <t>SAKUNKHLOI_W@SILPAKORN.EDU</t>
  </si>
  <si>
    <t>PANAIN_W@SILPAKORN.EDU</t>
  </si>
  <si>
    <t>SAWADMONGKON_W@SILPAKORN.EDU</t>
  </si>
  <si>
    <t>SUEPAIAM_S@SILPAKORN.EDU</t>
  </si>
  <si>
    <t>BANGDUANSAWAD_S@SILPAKORN.EDU</t>
  </si>
  <si>
    <t>SRIEAM_S@SILPAKORN.EDU</t>
  </si>
  <si>
    <t>MULASEEWA_S@SILPAKORN.EDU</t>
  </si>
  <si>
    <t>CHAMNAN_S3@SILPAKORN.EDU</t>
  </si>
  <si>
    <t>HUNCHAROEN_S@SILPAKORN.EDU</t>
  </si>
  <si>
    <t>KAISUAN_H@SILPAKORN.EDU</t>
  </si>
  <si>
    <t>SIMRAKSA_A@SILPAKORN.EDU</t>
  </si>
  <si>
    <t>SAMEE_A@SILPAKORN.EDU</t>
  </si>
  <si>
    <t>SUKHONG_J@SILPAKORN.EDU</t>
  </si>
  <si>
    <t>SAPTHAMRONGKUN_T@SILPAKORN.EDU</t>
  </si>
  <si>
    <t>SAPNGOEN_B@SILPAKORN.EDU</t>
  </si>
  <si>
    <t>KRASAEKON_P@SILPAKORN.EDU</t>
  </si>
  <si>
    <t>PHASUK_W@SILPAKORN.EDU</t>
  </si>
  <si>
    <t>KOPRASERTSIL_S@SILPAKORN.EDU</t>
  </si>
  <si>
    <t>THADKRATHOK_I@SILPAKORN.EDU</t>
  </si>
  <si>
    <t>WONGCHAN_K@SILPAKORN.EDU</t>
  </si>
  <si>
    <t>KHAMPONG_K@SILPAKORN.EDU</t>
  </si>
  <si>
    <t>TUBPAVATIN_J@SILPAKORN.EDU</t>
  </si>
  <si>
    <t>PONGPANIT_C@SILPAKORN.EDU</t>
  </si>
  <si>
    <t>PHOSRINAK_Y@SILPAKORN.EDU</t>
  </si>
  <si>
    <t>NAMSUWAN_N@SILPAKORN.EDU</t>
  </si>
  <si>
    <t>PHOTHIRA_N@SILPAKORN.EDU</t>
  </si>
  <si>
    <t>SIBUPHIMPHA_N@SILPAKORN.EDU</t>
  </si>
  <si>
    <t>WONGPENSOOK_N@SILPAKORN.EDU</t>
  </si>
  <si>
    <t>KAEWMANEEWONG_N@SILPAKORN.EDU</t>
  </si>
  <si>
    <t>CHAMNANCHAN_N@SILPAKORN.EDU</t>
  </si>
  <si>
    <t>KANJANANIJ_N@SILPAKORN.EDU</t>
  </si>
  <si>
    <t>KOSAKUL_D@SILPAKORN.EDU</t>
  </si>
  <si>
    <t>SONGKAJIN_T@SILPAKORN.EDU</t>
  </si>
  <si>
    <t>SEENUANNA_T@SILPAKORN.EDU</t>
  </si>
  <si>
    <t>WANNAWONG_T2@SILPAKORN.EDU</t>
  </si>
  <si>
    <t>KASSATHANANUKUL_T@SILPAKORN.EDU</t>
  </si>
  <si>
    <t>SEKSANTISAKUL_T@SILPAKORN.EDU</t>
  </si>
  <si>
    <t>HOMNAN_T@SILPAKORN.EDU</t>
  </si>
  <si>
    <t>PALAKAWONGNAAYU_N@SILPAKORN.EDU</t>
  </si>
  <si>
    <t>SAWADCHERD_N@SILPAKORN.EDU</t>
  </si>
  <si>
    <t>KOPATTRA_N@SILPAKORN.EDU</t>
  </si>
  <si>
    <t>RAKPETCH_N@SILPAKORN.EDU</t>
  </si>
  <si>
    <t>THAMMACHOT_B@SILPAKORN.EDU</t>
  </si>
  <si>
    <t>SAEPUENG_B@SILPAKORN.EDU</t>
  </si>
  <si>
    <t>NOIDEE_P@SILPAKORN.EDU</t>
  </si>
  <si>
    <t>PAKMOEI_P@SILPAKORN.EDU</t>
  </si>
  <si>
    <t>SANGUANBOON_P@SILPAKORN.EDU</t>
  </si>
  <si>
    <t>MAENGRAK_P@SILPAKORN.EDU</t>
  </si>
  <si>
    <t>WATTANAWAROT_P@SILPAKORN.EDU</t>
  </si>
  <si>
    <t>ONDEEKUL_P@SILPAKORN.EDU</t>
  </si>
  <si>
    <t>INTASIN_P@SILPAKORN.EDU</t>
  </si>
  <si>
    <t>SAMAIKAEO_P@SILPAKORN.EDU</t>
  </si>
  <si>
    <t>MANEERAT_P8@SILPAKORN.EDU</t>
  </si>
  <si>
    <t>SUKSAWADNAMCHOK_M@SILPAKORN.EDU</t>
  </si>
  <si>
    <t>INTHONGCHAI_R@SILPAKORN.EDU</t>
  </si>
  <si>
    <t>THIANGKUN_L@SILPAKORN.EDU</t>
  </si>
  <si>
    <t>SUKPHUANG_W@SILPAKORN.EDU</t>
  </si>
  <si>
    <t>LOONLAH_W@SILPAKORN.EDU</t>
  </si>
  <si>
    <t>PORNTHANASIRIWO_S@SILPAKORN.EDU</t>
  </si>
  <si>
    <t>SAKUNSRIPHAISAN_S@SILPAKORN.EDU</t>
  </si>
  <si>
    <t>NENPITAK_S@SILPAKORN.EDU</t>
  </si>
  <si>
    <t>PEIMNGAM_S@SILPAKORN.EDU</t>
  </si>
  <si>
    <t>POODCHAIJONGDEE_S@SILPAKORN.EDU</t>
  </si>
  <si>
    <t>SUKPOON_S@SILPAKORN.EDU</t>
  </si>
  <si>
    <t>PRAMUNSIN_S@SILPAKORN.EDU</t>
  </si>
  <si>
    <t>KEAWPHILA_S@SILPAKORN.EDU</t>
  </si>
  <si>
    <t>DACHCONG_A@SILPAKORN.EDU</t>
  </si>
  <si>
    <t>KLAMKLOMJIT_A@SILPAKORN.EDU</t>
  </si>
  <si>
    <t>ANEKSAN_O@SILPAKORN.EDU</t>
  </si>
  <si>
    <t>KHAMPINIT_J@SILPAKORN.EDU</t>
  </si>
  <si>
    <t>SOMBOONPORN_N@SILPAKORN.EDU</t>
  </si>
  <si>
    <t>KATON_N@SILPAKORN.EDU</t>
  </si>
  <si>
    <t>LIENGCHAROENSAP_P@SILPAKORN.EDU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</si>
</sst>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Tahoma"/>
      <family val="2"/>
      <charset val="222"/>
      <scheme val="minor"/>
    </font>
    <font>
      <b/>
      <sz val="10"/>
      <color rgb="FFFFFFFF"/>
      <name val="Arial"/>
    </font>
    <font>
      <sz val="10"/>
      <name val="Arial"/>
    </font>
    <font>
      <b/>
      <sz val="14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10"/>
      <color theme="1"/>
      <name val="Arial Unicode MS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4D1"/>
        <bgColor indexed="64"/>
      </patternFill>
    </fill>
    <fill>
      <patternFill patternType="solid">
        <fgColor rgb="FF4472C4"/>
      </patternFill>
    </fill>
    <fill>
      <patternFill patternType="solid">
        <fgColor rgb="FFD6E8D0"/>
      </patternFill>
    </fill>
    <fill>
      <patternFill patternType="solid">
        <fgColor rgb="FFFFD7D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8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9" borderId="1" xfId="0" applyFont="1" applyFill="1" applyBorder="1" applyAlignment="1">
      <alignment horizontal="center"/>
    </xf>
    <xf numFmtId="0" fontId="4" fillId="0" borderId="1" xfId="0" applyFont="1" applyBorder="1"/>
    <xf numFmtId="0" fontId="2" fillId="10" borderId="1" xfId="0" applyFont="1" applyFill="1" applyBorder="1"/>
    <xf numFmtId="0" fontId="2" fillId="9" borderId="1" xfId="0" applyFont="1" applyFill="1" applyBorder="1"/>
    <xf numFmtId="0" fontId="1" fillId="0" borderId="1" xfId="0" applyFont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0" fontId="6" fillId="11" borderId="1" xfId="0" applyFont="1" applyFill="1" applyBorder="1"/>
    <xf numFmtId="0" fontId="7" fillId="0" borderId="0" xfId="0" applyFont="1"/>
    <xf numFmtId="0" fontId="5" fillId="0" borderId="1" xfId="0" applyFont="1" applyBorder="1" applyAlignment="1">
      <alignment wrapText="1"/>
    </xf>
    <xf numFmtId="0" fontId="8" fillId="0" borderId="0" xfId="0" applyFont="1"/>
    <xf numFmtId="0" fontId="9" fillId="8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4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177C2EF-C4A5-4C2B-BCF9-E5A8F1CB9F40}" autoFormatId="16" applyNumberFormats="0" applyBorderFormats="0" applyFontFormats="0" applyPatternFormats="0" applyAlignmentFormats="0" applyWidthHeightFormats="0">
  <queryTableRefresh nextId="4">
    <queryTableFields count="3">
      <queryTableField id="1" name="Quarter" tableColumnId="1"/>
      <queryTableField id="2" name="Year" tableColumnId="2"/>
      <queryTableField id="3" name="SaleVolu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B955BA-BFEA-4246-830E-7E6DB508FD13}" autoFormatId="16" applyNumberFormats="0" applyBorderFormats="0" applyFontFormats="0" applyPatternFormats="0" applyAlignmentFormats="0" applyWidthHeightFormats="0">
  <queryTableRefresh nextId="5">
    <queryTableFields count="4">
      <queryTableField id="1" name="ลำดับ" tableColumnId="1"/>
      <queryTableField id="2" name="ชื่อพนักงาน" tableColumnId="2"/>
      <queryTableField id="3" name="แผนก" tableColumnId="3"/>
      <queryTableField id="4" name="เงินเดือน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C356BB-FF5C-4858-867B-0E428D54CDCB}" name="Table4" displayName="Table4" ref="A1:B6" totalsRowShown="0">
  <autoFilter ref="A1:B6" xr:uid="{8AC356BB-FF5C-4858-867B-0E428D54CDCB}"/>
  <tableColumns count="2">
    <tableColumn id="1" xr3:uid="{B45883BA-0540-4B12-9E34-63A7335863B3}" name="คะแนน"/>
    <tableColumn id="2" xr3:uid="{F14B0417-89D3-4C5D-8113-AF8E148AFD59}" name="เกรด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25D86E-B55A-4B7F-9613-6E22525A25DC}" name="Table010__Page_10" displayName="Table010__Page_10" ref="A1:C14" tableType="queryTable" totalsRowShown="0">
  <autoFilter ref="A1:C14" xr:uid="{8425D86E-B55A-4B7F-9613-6E22525A25DC}"/>
  <tableColumns count="3">
    <tableColumn id="1" xr3:uid="{6D1028E3-701B-41F1-AA00-1F135F98FF2C}" uniqueName="1" name="Quarter" queryTableFieldId="1"/>
    <tableColumn id="2" xr3:uid="{00FA7E2A-5801-4398-933D-F1B54D020829}" uniqueName="2" name="Year" queryTableFieldId="2" dataDxfId="3"/>
    <tableColumn id="3" xr3:uid="{2138EDDF-40A0-4750-9455-72F472B5419D}" uniqueName="3" name="SaleVolume" queryTableField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975B8-5C48-42D0-A564-CD8FF5828E80}" name="Table009__Page_9___2" displayName="Table009__Page_9___2" ref="A1:D6" tableType="queryTable" totalsRowShown="0">
  <autoFilter ref="A1:D6" xr:uid="{B2D975B8-5C48-42D0-A564-CD8FF5828E80}"/>
  <tableColumns count="4">
    <tableColumn id="1" xr3:uid="{B335018B-6C3F-4DA5-AA3C-A71CB821F4C3}" uniqueName="1" name="ลำดับ" queryTableFieldId="1" dataDxfId="2"/>
    <tableColumn id="2" xr3:uid="{E1F5AF2A-C5CD-483D-8F7D-519960672022}" uniqueName="2" name="ชื่อพนักงาน" queryTableFieldId="2" dataDxfId="1"/>
    <tableColumn id="3" xr3:uid="{C84D3A10-869E-4102-8A63-826FB2FF3A13}" uniqueName="3" name="แผนก" queryTableFieldId="3" dataDxfId="0"/>
    <tableColumn id="4" xr3:uid="{8861A6E9-06D6-43B0-BA67-6B3D84A7714A}" uniqueName="4" name="เงินเดือน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1577-9680-4756-ABB4-8EFCD5F906CF}">
  <dimension ref="A1:E14"/>
  <sheetViews>
    <sheetView workbookViewId="0">
      <selection activeCell="D32" sqref="D32"/>
    </sheetView>
  </sheetViews>
  <sheetFormatPr defaultRowHeight="13.75"/>
  <cols>
    <col min="1" max="5" width="11.35546875" bestFit="1" customWidth="1"/>
    <col min="6" max="6" width="13.5703125" bestFit="1" customWidth="1"/>
    <col min="7" max="8" width="11.35546875" bestFit="1" customWidth="1"/>
  </cols>
  <sheetData>
    <row r="1" spans="1:5">
      <c r="A1" s="2" t="s">
        <v>25</v>
      </c>
      <c r="B1" s="3" t="s">
        <v>26</v>
      </c>
      <c r="C1" t="s">
        <v>25</v>
      </c>
      <c r="D1" s="6">
        <v>75</v>
      </c>
      <c r="E1" t="s">
        <v>32</v>
      </c>
    </row>
    <row r="2" spans="1:5">
      <c r="A2">
        <v>0</v>
      </c>
      <c r="B2" t="s">
        <v>27</v>
      </c>
      <c r="C2" t="s">
        <v>26</v>
      </c>
      <c r="D2" s="1" t="str">
        <f>VLOOKUP(D1, $A$2:$B$6, 2, TRUE)</f>
        <v>B</v>
      </c>
    </row>
    <row r="3" spans="1:5">
      <c r="A3">
        <v>50</v>
      </c>
      <c r="B3" t="s">
        <v>28</v>
      </c>
    </row>
    <row r="4" spans="1:5">
      <c r="A4">
        <v>60</v>
      </c>
      <c r="B4" t="s">
        <v>30</v>
      </c>
    </row>
    <row r="5" spans="1:5">
      <c r="A5">
        <v>70</v>
      </c>
      <c r="B5" t="s">
        <v>31</v>
      </c>
    </row>
    <row r="6" spans="1:5">
      <c r="A6">
        <v>80</v>
      </c>
      <c r="B6" t="s">
        <v>29</v>
      </c>
    </row>
    <row r="9" spans="1:5">
      <c r="A9" t="s">
        <v>25</v>
      </c>
      <c r="B9" t="s">
        <v>26</v>
      </c>
    </row>
    <row r="10" spans="1:5">
      <c r="A10" t="s">
        <v>34</v>
      </c>
      <c r="B10" t="s">
        <v>27</v>
      </c>
    </row>
    <row r="11" spans="1:5">
      <c r="A11" t="s">
        <v>35</v>
      </c>
      <c r="B11" t="s">
        <v>28</v>
      </c>
    </row>
    <row r="12" spans="1:5">
      <c r="A12" t="s">
        <v>33</v>
      </c>
      <c r="B12" t="s">
        <v>30</v>
      </c>
    </row>
    <row r="13" spans="1:5">
      <c r="A13" t="s">
        <v>36</v>
      </c>
      <c r="B13" t="s">
        <v>31</v>
      </c>
    </row>
    <row r="14" spans="1:5">
      <c r="A14" t="s">
        <v>37</v>
      </c>
      <c r="B14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94ED-7F6C-4244-AB86-A898E9B92FC1}">
  <dimension ref="A1:C14"/>
  <sheetViews>
    <sheetView workbookViewId="0">
      <selection activeCell="C14" sqref="C14"/>
    </sheetView>
  </sheetViews>
  <sheetFormatPr defaultRowHeight="13.75"/>
  <cols>
    <col min="1" max="1" width="10.2109375" bestFit="1" customWidth="1"/>
    <col min="2" max="2" width="18.5703125" bestFit="1" customWidth="1"/>
    <col min="3" max="3" width="14" bestFit="1" customWidth="1"/>
  </cols>
  <sheetData>
    <row r="1" spans="1:3">
      <c r="A1" s="2" t="s">
        <v>18</v>
      </c>
      <c r="B1" s="3" t="s">
        <v>19</v>
      </c>
      <c r="C1" s="4" t="s">
        <v>20</v>
      </c>
    </row>
    <row r="2" spans="1:3">
      <c r="A2">
        <v>1</v>
      </c>
      <c r="B2" t="s">
        <v>21</v>
      </c>
      <c r="C2">
        <v>111</v>
      </c>
    </row>
    <row r="3" spans="1:3">
      <c r="A3">
        <v>2</v>
      </c>
      <c r="B3" t="s">
        <v>21</v>
      </c>
      <c r="C3">
        <v>112</v>
      </c>
    </row>
    <row r="4" spans="1:3">
      <c r="A4">
        <v>3</v>
      </c>
      <c r="B4" t="s">
        <v>21</v>
      </c>
      <c r="C4">
        <v>113</v>
      </c>
    </row>
    <row r="5" spans="1:3">
      <c r="A5">
        <v>4</v>
      </c>
      <c r="B5" t="s">
        <v>21</v>
      </c>
      <c r="C5">
        <v>114</v>
      </c>
    </row>
    <row r="6" spans="1:3">
      <c r="A6">
        <v>1</v>
      </c>
      <c r="B6" t="s">
        <v>22</v>
      </c>
      <c r="C6">
        <v>201</v>
      </c>
    </row>
    <row r="7" spans="1:3">
      <c r="A7">
        <v>2</v>
      </c>
      <c r="B7" t="s">
        <v>22</v>
      </c>
      <c r="C7">
        <v>202</v>
      </c>
    </row>
    <row r="8" spans="1:3">
      <c r="A8">
        <v>3</v>
      </c>
      <c r="B8" t="s">
        <v>22</v>
      </c>
      <c r="C8">
        <v>203</v>
      </c>
    </row>
    <row r="9" spans="1:3">
      <c r="A9">
        <v>4</v>
      </c>
      <c r="B9" t="s">
        <v>22</v>
      </c>
      <c r="C9">
        <v>204</v>
      </c>
    </row>
    <row r="10" spans="1:3">
      <c r="A10">
        <v>1</v>
      </c>
      <c r="B10" t="s">
        <v>23</v>
      </c>
      <c r="C10">
        <v>301</v>
      </c>
    </row>
    <row r="11" spans="1:3">
      <c r="A11">
        <v>2</v>
      </c>
      <c r="B11" t="s">
        <v>23</v>
      </c>
      <c r="C11">
        <v>301</v>
      </c>
    </row>
    <row r="12" spans="1:3">
      <c r="A12">
        <v>3</v>
      </c>
      <c r="B12" t="s">
        <v>23</v>
      </c>
      <c r="C12">
        <v>303</v>
      </c>
    </row>
    <row r="13" spans="1:3">
      <c r="A13">
        <v>4</v>
      </c>
      <c r="B13" t="s">
        <v>23</v>
      </c>
      <c r="C13">
        <v>304</v>
      </c>
    </row>
    <row r="14" spans="1:3">
      <c r="B14" t="s">
        <v>24</v>
      </c>
      <c r="C14" s="1">
        <f>SUM(,C6,C10,C2)</f>
        <v>613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DE1D-8293-4F97-ACF2-1D30E4ADC854}">
  <dimension ref="A1:D8"/>
  <sheetViews>
    <sheetView zoomScale="145" zoomScaleNormal="145" workbookViewId="0">
      <selection activeCell="D23" sqref="D23"/>
    </sheetView>
  </sheetViews>
  <sheetFormatPr defaultRowHeight="13.75"/>
  <cols>
    <col min="1" max="1" width="7.78515625" bestFit="1" customWidth="1"/>
    <col min="2" max="2" width="12.78515625" bestFit="1" customWidth="1"/>
    <col min="3" max="3" width="8.5" bestFit="1" customWidth="1"/>
    <col min="4" max="4" width="10.28515625" bestFit="1" customWidth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t="s">
        <v>4</v>
      </c>
      <c r="B2" t="s">
        <v>5</v>
      </c>
      <c r="C2" t="s">
        <v>6</v>
      </c>
      <c r="D2">
        <v>25000</v>
      </c>
    </row>
    <row r="3" spans="1:4">
      <c r="A3" t="s">
        <v>7</v>
      </c>
      <c r="B3" t="s">
        <v>8</v>
      </c>
      <c r="C3" t="s">
        <v>9</v>
      </c>
      <c r="D3">
        <v>30000</v>
      </c>
    </row>
    <row r="4" spans="1:4">
      <c r="A4" t="s">
        <v>10</v>
      </c>
      <c r="B4" t="s">
        <v>11</v>
      </c>
      <c r="C4" t="s">
        <v>12</v>
      </c>
      <c r="D4">
        <v>40000</v>
      </c>
    </row>
    <row r="5" spans="1:4">
      <c r="A5" t="s">
        <v>13</v>
      </c>
      <c r="B5" t="s">
        <v>14</v>
      </c>
      <c r="C5" t="s">
        <v>15</v>
      </c>
      <c r="D5">
        <v>28000</v>
      </c>
    </row>
    <row r="6" spans="1:4">
      <c r="A6" t="s">
        <v>16</v>
      </c>
      <c r="B6" t="s">
        <v>16</v>
      </c>
      <c r="C6" t="s">
        <v>16</v>
      </c>
    </row>
    <row r="7" spans="1:4">
      <c r="A7" t="s">
        <v>17</v>
      </c>
      <c r="B7" t="s">
        <v>2</v>
      </c>
      <c r="C7" t="s">
        <v>16</v>
      </c>
    </row>
    <row r="8" spans="1:4">
      <c r="A8" t="s">
        <v>11</v>
      </c>
      <c r="B8" s="1" t="str">
        <f>VLOOKUP(A8,B2:C5,2,)</f>
        <v>ไอที</v>
      </c>
      <c r="C8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BCD5-8418-4F1C-8A90-18019C6A9230}">
  <dimension ref="A1:T141"/>
  <sheetViews>
    <sheetView topLeftCell="F1" zoomScale="85" zoomScaleNormal="85" workbookViewId="0">
      <selection activeCell="K29" sqref="K29"/>
    </sheetView>
  </sheetViews>
  <sheetFormatPr defaultRowHeight="13.75"/>
  <cols>
    <col min="1" max="1" width="22" customWidth="1"/>
    <col min="2" max="2" width="15" customWidth="1"/>
    <col min="3" max="4" width="13" customWidth="1"/>
    <col min="5" max="5" width="15" customWidth="1"/>
    <col min="6" max="6" width="45" customWidth="1"/>
    <col min="7" max="7" width="20" customWidth="1"/>
    <col min="8" max="8" width="15" customWidth="1"/>
    <col min="9" max="9" width="12" customWidth="1"/>
    <col min="11" max="11" width="42.2109375" customWidth="1"/>
    <col min="12" max="12" width="21.7109375" customWidth="1"/>
    <col min="13" max="13" width="13" bestFit="1" customWidth="1"/>
  </cols>
  <sheetData>
    <row r="1" spans="1:19" ht="40" customHeight="1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K1" s="21"/>
      <c r="L1" s="22"/>
    </row>
    <row r="2" spans="1:19">
      <c r="A2" s="8" t="s">
        <v>47</v>
      </c>
      <c r="B2" s="8" t="s">
        <v>48</v>
      </c>
      <c r="C2" s="8">
        <v>4</v>
      </c>
      <c r="D2" s="8">
        <v>5</v>
      </c>
      <c r="E2" s="8" t="s">
        <v>49</v>
      </c>
      <c r="F2" s="8" t="s">
        <v>50</v>
      </c>
      <c r="G2" s="8" t="s">
        <v>51</v>
      </c>
      <c r="H2" s="8">
        <v>3</v>
      </c>
      <c r="I2" s="8">
        <v>5</v>
      </c>
      <c r="K2" s="14"/>
      <c r="L2" s="14"/>
      <c r="M2" s="14"/>
      <c r="N2" s="14"/>
      <c r="O2" s="14"/>
      <c r="P2" s="14"/>
      <c r="Q2" s="14"/>
      <c r="R2" s="14"/>
      <c r="S2" s="14"/>
    </row>
    <row r="3" spans="1:19">
      <c r="A3" s="8" t="s">
        <v>52</v>
      </c>
      <c r="B3" s="8" t="s">
        <v>48</v>
      </c>
      <c r="C3" s="8">
        <v>3</v>
      </c>
      <c r="D3" s="8">
        <v>4</v>
      </c>
      <c r="E3" s="8" t="s">
        <v>53</v>
      </c>
      <c r="F3" s="8" t="s">
        <v>50</v>
      </c>
      <c r="G3" s="8" t="s">
        <v>51</v>
      </c>
      <c r="H3" s="8">
        <v>3</v>
      </c>
      <c r="I3" s="8">
        <v>3</v>
      </c>
      <c r="K3" s="9" t="s">
        <v>199</v>
      </c>
      <c r="L3" s="10">
        <f>COUNTA(A:A)-1</f>
        <v>140</v>
      </c>
    </row>
    <row r="4" spans="1:19">
      <c r="A4" s="8" t="s">
        <v>54</v>
      </c>
      <c r="B4" s="8" t="s">
        <v>48</v>
      </c>
      <c r="C4" s="8">
        <v>1</v>
      </c>
      <c r="D4" s="8">
        <v>1</v>
      </c>
      <c r="E4" s="8" t="s">
        <v>53</v>
      </c>
      <c r="F4" s="8" t="s">
        <v>55</v>
      </c>
      <c r="G4" s="8" t="s">
        <v>51</v>
      </c>
      <c r="H4" s="8">
        <v>2</v>
      </c>
      <c r="I4" s="8">
        <v>4</v>
      </c>
      <c r="K4" s="18" t="s">
        <v>200</v>
      </c>
      <c r="L4">
        <f>COUNTIF(B2:B141, "undergraduate")</f>
        <v>100</v>
      </c>
    </row>
    <row r="5" spans="1:19">
      <c r="A5" s="8" t="s">
        <v>56</v>
      </c>
      <c r="B5" s="8" t="s">
        <v>48</v>
      </c>
      <c r="C5" s="8">
        <v>3</v>
      </c>
      <c r="D5" s="8">
        <v>2</v>
      </c>
      <c r="E5" s="8" t="s">
        <v>53</v>
      </c>
      <c r="F5" s="8" t="s">
        <v>50</v>
      </c>
      <c r="G5" s="8" t="s">
        <v>51</v>
      </c>
      <c r="H5" s="8">
        <v>4</v>
      </c>
      <c r="I5" s="8">
        <v>3</v>
      </c>
      <c r="K5" s="9" t="s">
        <v>201</v>
      </c>
      <c r="L5">
        <f>COUNTIF(B2:B141, "post-graduate")</f>
        <v>11</v>
      </c>
    </row>
    <row r="6" spans="1:19">
      <c r="A6" s="8" t="s">
        <v>57</v>
      </c>
      <c r="B6" s="8" t="s">
        <v>48</v>
      </c>
      <c r="C6" s="8">
        <v>3</v>
      </c>
      <c r="D6" s="8">
        <v>3</v>
      </c>
      <c r="E6" s="8" t="s">
        <v>53</v>
      </c>
      <c r="F6" s="8" t="s">
        <v>50</v>
      </c>
      <c r="G6" s="8" t="s">
        <v>51</v>
      </c>
      <c r="H6" s="8">
        <v>4</v>
      </c>
      <c r="I6" s="8">
        <v>5</v>
      </c>
      <c r="K6" s="9" t="s">
        <v>202</v>
      </c>
      <c r="L6">
        <f>COUNTIF(B2:B141, "high school")</f>
        <v>29</v>
      </c>
    </row>
    <row r="7" spans="1:19">
      <c r="A7" s="8" t="s">
        <v>58</v>
      </c>
      <c r="B7" s="8" t="s">
        <v>48</v>
      </c>
      <c r="C7" s="8">
        <v>3</v>
      </c>
      <c r="D7" s="8">
        <v>3</v>
      </c>
      <c r="E7" s="8" t="s">
        <v>53</v>
      </c>
      <c r="F7" s="8" t="s">
        <v>50</v>
      </c>
      <c r="G7" s="8" t="s">
        <v>51</v>
      </c>
      <c r="H7" s="8">
        <v>4</v>
      </c>
      <c r="I7" s="8">
        <v>4</v>
      </c>
      <c r="K7" s="18" t="s">
        <v>203</v>
      </c>
      <c r="L7" t="str" cm="1">
        <f t="array" ref="L7">INDEX(F2:F141, MODE(IF(B2:B141="undergraduate", MATCH(F2:F141, F2:F141, 0))))</f>
        <v>Analyze the situation and handle it with intellect</v>
      </c>
    </row>
    <row r="8" spans="1:19">
      <c r="A8" s="8" t="s">
        <v>59</v>
      </c>
      <c r="B8" s="8" t="s">
        <v>48</v>
      </c>
      <c r="C8" s="8">
        <v>5</v>
      </c>
      <c r="D8" s="8">
        <v>5</v>
      </c>
      <c r="E8" s="8" t="s">
        <v>60</v>
      </c>
      <c r="F8" s="8" t="s">
        <v>61</v>
      </c>
      <c r="G8" s="8" t="s">
        <v>51</v>
      </c>
      <c r="H8" s="8">
        <v>4</v>
      </c>
      <c r="I8" s="8">
        <v>4</v>
      </c>
    </row>
    <row r="9" spans="1:19">
      <c r="A9" s="8" t="s">
        <v>62</v>
      </c>
      <c r="B9" s="8" t="s">
        <v>48</v>
      </c>
      <c r="C9" s="8">
        <v>3</v>
      </c>
      <c r="D9" s="8">
        <v>2</v>
      </c>
      <c r="E9" s="8" t="s">
        <v>53</v>
      </c>
      <c r="F9" s="8" t="s">
        <v>55</v>
      </c>
      <c r="G9" s="8" t="s">
        <v>51</v>
      </c>
      <c r="H9" s="8">
        <v>3</v>
      </c>
      <c r="I9" s="8">
        <v>3</v>
      </c>
      <c r="K9" s="11" t="s">
        <v>204</v>
      </c>
    </row>
    <row r="10" spans="1:19">
      <c r="A10" s="8" t="s">
        <v>63</v>
      </c>
      <c r="B10" s="8" t="s">
        <v>48</v>
      </c>
      <c r="C10" s="8">
        <v>2</v>
      </c>
      <c r="D10" s="8">
        <v>2</v>
      </c>
      <c r="E10" s="8" t="s">
        <v>53</v>
      </c>
      <c r="F10" s="8" t="s">
        <v>50</v>
      </c>
      <c r="G10" s="8" t="s">
        <v>51</v>
      </c>
      <c r="H10" s="8">
        <v>2</v>
      </c>
      <c r="I10" s="8">
        <v>2</v>
      </c>
      <c r="K10" s="8" t="s">
        <v>205</v>
      </c>
      <c r="L10">
        <f>COUNTIF(B2:B141, "undergraduate")</f>
        <v>100</v>
      </c>
    </row>
    <row r="11" spans="1:19">
      <c r="A11" s="8" t="s">
        <v>64</v>
      </c>
      <c r="B11" s="8" t="s">
        <v>48</v>
      </c>
      <c r="C11" s="8">
        <v>2</v>
      </c>
      <c r="D11" s="8">
        <v>2</v>
      </c>
      <c r="E11" s="8" t="s">
        <v>53</v>
      </c>
      <c r="F11" s="8" t="s">
        <v>50</v>
      </c>
      <c r="G11" s="8" t="s">
        <v>51</v>
      </c>
      <c r="H11" s="8">
        <v>4</v>
      </c>
      <c r="I11" s="8">
        <v>2</v>
      </c>
      <c r="K11" s="8" t="s">
        <v>206</v>
      </c>
      <c r="L11">
        <f>COUNTIF(B2:B141, "post-graduate")</f>
        <v>11</v>
      </c>
    </row>
    <row r="12" spans="1:19">
      <c r="A12" s="8" t="s">
        <v>65</v>
      </c>
      <c r="B12" s="8" t="s">
        <v>48</v>
      </c>
      <c r="C12" s="8">
        <v>3</v>
      </c>
      <c r="D12" s="8">
        <v>2</v>
      </c>
      <c r="E12" s="8" t="s">
        <v>60</v>
      </c>
      <c r="F12" s="8" t="s">
        <v>61</v>
      </c>
      <c r="G12" s="8" t="s">
        <v>51</v>
      </c>
      <c r="H12" s="8">
        <v>3</v>
      </c>
      <c r="I12" s="8">
        <v>5</v>
      </c>
      <c r="K12" s="8" t="s">
        <v>207</v>
      </c>
      <c r="L12" s="19">
        <f>COUNTIF(B2:B141, "high school")</f>
        <v>29</v>
      </c>
    </row>
    <row r="13" spans="1:19">
      <c r="A13" s="8" t="s">
        <v>66</v>
      </c>
      <c r="B13" s="8" t="s">
        <v>48</v>
      </c>
      <c r="C13" s="8">
        <v>4</v>
      </c>
      <c r="D13" s="8">
        <v>5</v>
      </c>
      <c r="E13" s="8" t="s">
        <v>53</v>
      </c>
      <c r="F13" s="8" t="s">
        <v>50</v>
      </c>
      <c r="G13" s="8" t="s">
        <v>51</v>
      </c>
      <c r="H13" s="8">
        <v>3</v>
      </c>
      <c r="I13" s="8">
        <v>3</v>
      </c>
    </row>
    <row r="14" spans="1:19">
      <c r="A14" s="8" t="s">
        <v>67</v>
      </c>
      <c r="B14" s="8" t="s">
        <v>48</v>
      </c>
      <c r="C14" s="8">
        <v>2</v>
      </c>
      <c r="D14" s="8">
        <v>3</v>
      </c>
      <c r="E14" s="8" t="s">
        <v>49</v>
      </c>
      <c r="F14" s="8" t="s">
        <v>61</v>
      </c>
      <c r="G14" s="8" t="s">
        <v>51</v>
      </c>
      <c r="H14" s="8">
        <v>2</v>
      </c>
      <c r="I14" s="8">
        <v>2</v>
      </c>
      <c r="K14" s="11" t="s">
        <v>208</v>
      </c>
    </row>
    <row r="15" spans="1:19">
      <c r="A15" s="8" t="s">
        <v>68</v>
      </c>
      <c r="B15" s="8" t="s">
        <v>48</v>
      </c>
      <c r="C15" s="8">
        <v>2</v>
      </c>
      <c r="D15" s="8">
        <v>3</v>
      </c>
      <c r="E15" s="8" t="s">
        <v>60</v>
      </c>
      <c r="F15" s="8" t="s">
        <v>50</v>
      </c>
      <c r="G15" s="8" t="s">
        <v>51</v>
      </c>
      <c r="H15" s="8">
        <v>4</v>
      </c>
      <c r="I15" s="8">
        <v>2</v>
      </c>
      <c r="L15" s="11" t="s">
        <v>209</v>
      </c>
    </row>
    <row r="16" spans="1:19">
      <c r="A16" s="8" t="s">
        <v>69</v>
      </c>
      <c r="B16" s="8" t="s">
        <v>48</v>
      </c>
      <c r="C16" s="8">
        <v>3</v>
      </c>
      <c r="D16" s="8">
        <v>4</v>
      </c>
      <c r="E16" s="8" t="s">
        <v>60</v>
      </c>
      <c r="F16" s="8" t="s">
        <v>55</v>
      </c>
      <c r="G16" s="8" t="s">
        <v>70</v>
      </c>
      <c r="H16" s="8">
        <v>3</v>
      </c>
      <c r="I16" s="8">
        <v>4</v>
      </c>
      <c r="L16" s="12" t="s">
        <v>48</v>
      </c>
    </row>
    <row r="17" spans="1:20">
      <c r="A17" s="8" t="s">
        <v>71</v>
      </c>
      <c r="B17" s="8" t="s">
        <v>48</v>
      </c>
      <c r="C17" s="8">
        <v>5</v>
      </c>
      <c r="D17" s="8">
        <v>5</v>
      </c>
      <c r="E17" s="8" t="s">
        <v>49</v>
      </c>
      <c r="F17" s="8" t="s">
        <v>50</v>
      </c>
      <c r="G17" s="8" t="s">
        <v>51</v>
      </c>
      <c r="H17" s="8">
        <v>4</v>
      </c>
      <c r="I17" s="8">
        <v>4</v>
      </c>
      <c r="L17" s="16" t="s">
        <v>210</v>
      </c>
    </row>
    <row r="18" spans="1:20">
      <c r="A18" s="8" t="s">
        <v>72</v>
      </c>
      <c r="B18" s="8" t="s">
        <v>48</v>
      </c>
      <c r="C18" s="8">
        <v>3</v>
      </c>
      <c r="D18" s="8">
        <v>3</v>
      </c>
      <c r="E18" s="8" t="s">
        <v>53</v>
      </c>
      <c r="F18" s="8" t="s">
        <v>50</v>
      </c>
      <c r="G18" s="8" t="s">
        <v>51</v>
      </c>
      <c r="H18" s="8">
        <v>5</v>
      </c>
      <c r="I18" s="8">
        <v>5</v>
      </c>
      <c r="L18" t="str" cm="1">
        <f t="array" ref="L18:T117">_xlfn._xlws.FILTER(A2:I141, B2:B141 = "undergraduate")</f>
        <v>24/07/2025 22:05:39</v>
      </c>
      <c r="M18" t="str">
        <v>undergraduate</v>
      </c>
      <c r="N18">
        <v>4</v>
      </c>
      <c r="O18">
        <v>5</v>
      </c>
      <c r="P18" t="str">
        <v>Noisy</v>
      </c>
      <c r="Q18" t="str">
        <v>Analyze the situation and handle it with intellect</v>
      </c>
      <c r="R18" t="str">
        <v>No</v>
      </c>
      <c r="S18">
        <v>3</v>
      </c>
      <c r="T18">
        <v>5</v>
      </c>
    </row>
    <row r="19" spans="1:20">
      <c r="A19" s="8" t="s">
        <v>73</v>
      </c>
      <c r="B19" s="8" t="s">
        <v>48</v>
      </c>
      <c r="C19" s="8">
        <v>3</v>
      </c>
      <c r="D19" s="8">
        <v>5</v>
      </c>
      <c r="E19" s="8" t="s">
        <v>60</v>
      </c>
      <c r="F19" s="8" t="s">
        <v>50</v>
      </c>
      <c r="G19" s="8" t="s">
        <v>51</v>
      </c>
      <c r="H19" s="8">
        <v>5</v>
      </c>
      <c r="I19" s="8">
        <v>4</v>
      </c>
      <c r="L19" t="str">
        <v>24/07/2025 22:05:52</v>
      </c>
      <c r="M19" t="str">
        <v>undergraduate</v>
      </c>
      <c r="N19">
        <v>3</v>
      </c>
      <c r="O19">
        <v>4</v>
      </c>
      <c r="P19" t="str">
        <v>Peaceful</v>
      </c>
      <c r="Q19" t="str">
        <v>Analyze the situation and handle it with intellect</v>
      </c>
      <c r="R19" t="str">
        <v>No</v>
      </c>
      <c r="S19">
        <v>3</v>
      </c>
      <c r="T19">
        <v>3</v>
      </c>
    </row>
    <row r="20" spans="1:20">
      <c r="A20" s="8" t="s">
        <v>74</v>
      </c>
      <c r="B20" s="8" t="s">
        <v>48</v>
      </c>
      <c r="C20" s="8">
        <v>3</v>
      </c>
      <c r="D20" s="8">
        <v>3</v>
      </c>
      <c r="E20" s="8" t="s">
        <v>53</v>
      </c>
      <c r="F20" s="8" t="s">
        <v>61</v>
      </c>
      <c r="G20" s="8" t="s">
        <v>51</v>
      </c>
      <c r="H20" s="8">
        <v>4</v>
      </c>
      <c r="I20" s="8">
        <v>3</v>
      </c>
      <c r="L20" t="str">
        <v>24/07/2025 22:06:39</v>
      </c>
      <c r="M20" t="str">
        <v>undergraduate</v>
      </c>
      <c r="N20">
        <v>1</v>
      </c>
      <c r="O20">
        <v>1</v>
      </c>
      <c r="P20" t="str">
        <v>Peaceful</v>
      </c>
      <c r="Q20" t="str">
        <v>Social support (friends, family)</v>
      </c>
      <c r="R20" t="str">
        <v>No</v>
      </c>
      <c r="S20">
        <v>2</v>
      </c>
      <c r="T20">
        <v>4</v>
      </c>
    </row>
    <row r="21" spans="1:20">
      <c r="A21" s="8" t="s">
        <v>75</v>
      </c>
      <c r="B21" s="8" t="s">
        <v>48</v>
      </c>
      <c r="C21" s="8">
        <v>3</v>
      </c>
      <c r="D21" s="8">
        <v>4</v>
      </c>
      <c r="E21" s="8" t="s">
        <v>53</v>
      </c>
      <c r="F21" s="8" t="s">
        <v>55</v>
      </c>
      <c r="G21" s="8" t="s">
        <v>51</v>
      </c>
      <c r="H21" s="8">
        <v>4</v>
      </c>
      <c r="I21" s="8">
        <v>3</v>
      </c>
      <c r="L21" t="str">
        <v>24/07/2025 22:06:45</v>
      </c>
      <c r="M21" t="str">
        <v>undergraduate</v>
      </c>
      <c r="N21">
        <v>3</v>
      </c>
      <c r="O21">
        <v>2</v>
      </c>
      <c r="P21" t="str">
        <v>Peaceful</v>
      </c>
      <c r="Q21" t="str">
        <v>Analyze the situation and handle it with intellect</v>
      </c>
      <c r="R21" t="str">
        <v>No</v>
      </c>
      <c r="S21">
        <v>4</v>
      </c>
      <c r="T21">
        <v>3</v>
      </c>
    </row>
    <row r="22" spans="1:20">
      <c r="A22" s="8" t="s">
        <v>76</v>
      </c>
      <c r="B22" s="8" t="s">
        <v>48</v>
      </c>
      <c r="C22" s="8">
        <v>4</v>
      </c>
      <c r="D22" s="8">
        <v>3</v>
      </c>
      <c r="E22" s="8" t="s">
        <v>53</v>
      </c>
      <c r="F22" s="8" t="s">
        <v>50</v>
      </c>
      <c r="G22" s="8" t="s">
        <v>51</v>
      </c>
      <c r="H22" s="8">
        <v>4</v>
      </c>
      <c r="I22" s="8">
        <v>4</v>
      </c>
      <c r="L22" t="str">
        <v>24/07/2025 22:08:06</v>
      </c>
      <c r="M22" t="str">
        <v>undergraduate</v>
      </c>
      <c r="N22">
        <v>3</v>
      </c>
      <c r="O22">
        <v>3</v>
      </c>
      <c r="P22" t="str">
        <v>Peaceful</v>
      </c>
      <c r="Q22" t="str">
        <v>Analyze the situation and handle it with intellect</v>
      </c>
      <c r="R22" t="str">
        <v>No</v>
      </c>
      <c r="S22">
        <v>4</v>
      </c>
      <c r="T22">
        <v>5</v>
      </c>
    </row>
    <row r="23" spans="1:20">
      <c r="A23" s="8" t="s">
        <v>77</v>
      </c>
      <c r="B23" s="8" t="s">
        <v>48</v>
      </c>
      <c r="C23" s="8">
        <v>3</v>
      </c>
      <c r="D23" s="8">
        <v>3</v>
      </c>
      <c r="E23" s="8" t="s">
        <v>53</v>
      </c>
      <c r="F23" s="8" t="s">
        <v>50</v>
      </c>
      <c r="G23" s="8" t="s">
        <v>51</v>
      </c>
      <c r="H23" s="8">
        <v>4</v>
      </c>
      <c r="I23" s="8">
        <v>3</v>
      </c>
      <c r="L23" t="str">
        <v>24/07/2025 22:08:13</v>
      </c>
      <c r="M23" t="str">
        <v>undergraduate</v>
      </c>
      <c r="N23">
        <v>3</v>
      </c>
      <c r="O23">
        <v>3</v>
      </c>
      <c r="P23" t="str">
        <v>Peaceful</v>
      </c>
      <c r="Q23" t="str">
        <v>Analyze the situation and handle it with intellect</v>
      </c>
      <c r="R23" t="str">
        <v>No</v>
      </c>
      <c r="S23">
        <v>4</v>
      </c>
      <c r="T23">
        <v>4</v>
      </c>
    </row>
    <row r="24" spans="1:20">
      <c r="A24" s="8" t="s">
        <v>78</v>
      </c>
      <c r="B24" s="8" t="s">
        <v>48</v>
      </c>
      <c r="C24" s="8">
        <v>3</v>
      </c>
      <c r="D24" s="8">
        <v>3</v>
      </c>
      <c r="E24" s="8" t="s">
        <v>53</v>
      </c>
      <c r="F24" s="8" t="s">
        <v>50</v>
      </c>
      <c r="G24" s="8" t="s">
        <v>51</v>
      </c>
      <c r="H24" s="8">
        <v>4</v>
      </c>
      <c r="I24" s="8">
        <v>3</v>
      </c>
      <c r="L24" t="str">
        <v>24/07/2025 22:09:21</v>
      </c>
      <c r="M24" t="str">
        <v>undergraduate</v>
      </c>
      <c r="N24">
        <v>5</v>
      </c>
      <c r="O24">
        <v>5</v>
      </c>
      <c r="P24" t="str">
        <v>disrupted</v>
      </c>
      <c r="Q24" t="str">
        <v>Emotional breakdown (crying a lot)</v>
      </c>
      <c r="R24" t="str">
        <v>No</v>
      </c>
      <c r="S24">
        <v>4</v>
      </c>
      <c r="T24">
        <v>4</v>
      </c>
    </row>
    <row r="25" spans="1:20">
      <c r="A25" s="8" t="s">
        <v>79</v>
      </c>
      <c r="B25" s="8" t="s">
        <v>48</v>
      </c>
      <c r="C25" s="8">
        <v>5</v>
      </c>
      <c r="D25" s="8">
        <v>1</v>
      </c>
      <c r="E25" s="8" t="s">
        <v>60</v>
      </c>
      <c r="F25" s="8" t="s">
        <v>50</v>
      </c>
      <c r="G25" s="8" t="s">
        <v>51</v>
      </c>
      <c r="H25" s="8">
        <v>5</v>
      </c>
      <c r="I25" s="8">
        <v>3</v>
      </c>
      <c r="L25" t="str">
        <v>24/07/2025 22:10:06</v>
      </c>
      <c r="M25" t="str">
        <v>undergraduate</v>
      </c>
      <c r="N25">
        <v>3</v>
      </c>
      <c r="O25">
        <v>2</v>
      </c>
      <c r="P25" t="str">
        <v>Peaceful</v>
      </c>
      <c r="Q25" t="str">
        <v>Social support (friends, family)</v>
      </c>
      <c r="R25" t="str">
        <v>No</v>
      </c>
      <c r="S25">
        <v>3</v>
      </c>
      <c r="T25">
        <v>3</v>
      </c>
    </row>
    <row r="26" spans="1:20">
      <c r="A26" s="8" t="s">
        <v>80</v>
      </c>
      <c r="B26" s="8" t="s">
        <v>48</v>
      </c>
      <c r="C26" s="8">
        <v>4</v>
      </c>
      <c r="D26" s="8">
        <v>5</v>
      </c>
      <c r="E26" s="8" t="s">
        <v>60</v>
      </c>
      <c r="F26" s="8" t="s">
        <v>50</v>
      </c>
      <c r="G26" s="8" t="s">
        <v>51</v>
      </c>
      <c r="H26" s="8">
        <v>4</v>
      </c>
      <c r="I26" s="8">
        <v>4</v>
      </c>
      <c r="L26" t="str">
        <v>24/07/2025 22:11:01</v>
      </c>
      <c r="M26" t="str">
        <v>undergraduate</v>
      </c>
      <c r="N26">
        <v>2</v>
      </c>
      <c r="O26">
        <v>2</v>
      </c>
      <c r="P26" t="str">
        <v>Peaceful</v>
      </c>
      <c r="Q26" t="str">
        <v>Analyze the situation and handle it with intellect</v>
      </c>
      <c r="R26" t="str">
        <v>No</v>
      </c>
      <c r="S26">
        <v>2</v>
      </c>
      <c r="T26">
        <v>2</v>
      </c>
    </row>
    <row r="27" spans="1:20">
      <c r="A27" s="8" t="s">
        <v>81</v>
      </c>
      <c r="B27" s="8" t="s">
        <v>48</v>
      </c>
      <c r="C27" s="8">
        <v>4</v>
      </c>
      <c r="D27" s="8">
        <v>3</v>
      </c>
      <c r="E27" s="8" t="s">
        <v>53</v>
      </c>
      <c r="F27" s="8" t="s">
        <v>50</v>
      </c>
      <c r="G27" s="8" t="s">
        <v>51</v>
      </c>
      <c r="H27" s="8">
        <v>4</v>
      </c>
      <c r="I27" s="8">
        <v>4</v>
      </c>
      <c r="L27" t="str">
        <v>24/07/2025 22:11:19</v>
      </c>
      <c r="M27" t="str">
        <v>undergraduate</v>
      </c>
      <c r="N27">
        <v>2</v>
      </c>
      <c r="O27">
        <v>2</v>
      </c>
      <c r="P27" t="str">
        <v>Peaceful</v>
      </c>
      <c r="Q27" t="str">
        <v>Analyze the situation and handle it with intellect</v>
      </c>
      <c r="R27" t="str">
        <v>No</v>
      </c>
      <c r="S27">
        <v>4</v>
      </c>
      <c r="T27">
        <v>2</v>
      </c>
    </row>
    <row r="28" spans="1:20">
      <c r="A28" s="8" t="s">
        <v>82</v>
      </c>
      <c r="B28" s="8" t="s">
        <v>48</v>
      </c>
      <c r="C28" s="8">
        <v>4</v>
      </c>
      <c r="D28" s="8">
        <v>5</v>
      </c>
      <c r="E28" s="8" t="s">
        <v>60</v>
      </c>
      <c r="F28" s="8" t="s">
        <v>50</v>
      </c>
      <c r="G28" s="8" t="s">
        <v>83</v>
      </c>
      <c r="H28" s="8">
        <v>4</v>
      </c>
      <c r="I28" s="8">
        <v>5</v>
      </c>
      <c r="L28" t="str">
        <v>24/07/2025 22:12:12</v>
      </c>
      <c r="M28" t="str">
        <v>undergraduate</v>
      </c>
      <c r="N28">
        <v>3</v>
      </c>
      <c r="O28">
        <v>2</v>
      </c>
      <c r="P28" t="str">
        <v>disrupted</v>
      </c>
      <c r="Q28" t="str">
        <v>Emotional breakdown (crying a lot)</v>
      </c>
      <c r="R28" t="str">
        <v>No</v>
      </c>
      <c r="S28">
        <v>3</v>
      </c>
      <c r="T28">
        <v>5</v>
      </c>
    </row>
    <row r="29" spans="1:20">
      <c r="A29" s="8" t="s">
        <v>84</v>
      </c>
      <c r="B29" s="8" t="s">
        <v>85</v>
      </c>
      <c r="C29" s="8">
        <v>3</v>
      </c>
      <c r="D29" s="8">
        <v>4</v>
      </c>
      <c r="E29" s="8" t="s">
        <v>60</v>
      </c>
      <c r="F29" s="8" t="s">
        <v>50</v>
      </c>
      <c r="G29" s="8" t="s">
        <v>51</v>
      </c>
      <c r="H29" s="8">
        <v>3</v>
      </c>
      <c r="I29" s="8">
        <v>4</v>
      </c>
      <c r="L29" t="str">
        <v>24/07/2025 22:12:24</v>
      </c>
      <c r="M29" t="str">
        <v>undergraduate</v>
      </c>
      <c r="N29">
        <v>4</v>
      </c>
      <c r="O29">
        <v>5</v>
      </c>
      <c r="P29" t="str">
        <v>Peaceful</v>
      </c>
      <c r="Q29" t="str">
        <v>Analyze the situation and handle it with intellect</v>
      </c>
      <c r="R29" t="str">
        <v>No</v>
      </c>
      <c r="S29">
        <v>3</v>
      </c>
      <c r="T29">
        <v>3</v>
      </c>
    </row>
    <row r="30" spans="1:20">
      <c r="A30" s="8" t="s">
        <v>86</v>
      </c>
      <c r="B30" s="8" t="s">
        <v>48</v>
      </c>
      <c r="C30" s="8">
        <v>5</v>
      </c>
      <c r="D30" s="8">
        <v>1</v>
      </c>
      <c r="E30" s="8" t="s">
        <v>60</v>
      </c>
      <c r="F30" s="8" t="s">
        <v>55</v>
      </c>
      <c r="G30" s="8" t="s">
        <v>51</v>
      </c>
      <c r="H30" s="8">
        <v>4</v>
      </c>
      <c r="I30" s="8">
        <v>5</v>
      </c>
      <c r="L30" t="str">
        <v>24/07/2025 22:12:27</v>
      </c>
      <c r="M30" t="str">
        <v>undergraduate</v>
      </c>
      <c r="N30">
        <v>2</v>
      </c>
      <c r="O30">
        <v>3</v>
      </c>
      <c r="P30" t="str">
        <v>Noisy</v>
      </c>
      <c r="Q30" t="str">
        <v>Emotional breakdown (crying a lot)</v>
      </c>
      <c r="R30" t="str">
        <v>No</v>
      </c>
      <c r="S30">
        <v>2</v>
      </c>
      <c r="T30">
        <v>2</v>
      </c>
    </row>
    <row r="31" spans="1:20">
      <c r="A31" s="8" t="s">
        <v>87</v>
      </c>
      <c r="B31" s="8" t="s">
        <v>48</v>
      </c>
      <c r="C31" s="8">
        <v>4</v>
      </c>
      <c r="D31" s="8">
        <v>3</v>
      </c>
      <c r="E31" s="8" t="s">
        <v>53</v>
      </c>
      <c r="F31" s="8" t="s">
        <v>50</v>
      </c>
      <c r="G31" s="8" t="s">
        <v>51</v>
      </c>
      <c r="H31" s="8">
        <v>5</v>
      </c>
      <c r="I31" s="8">
        <v>4</v>
      </c>
      <c r="L31" t="str">
        <v>24/07/2025 22:12:48</v>
      </c>
      <c r="M31" t="str">
        <v>undergraduate</v>
      </c>
      <c r="N31">
        <v>2</v>
      </c>
      <c r="O31">
        <v>3</v>
      </c>
      <c r="P31" t="str">
        <v>disrupted</v>
      </c>
      <c r="Q31" t="str">
        <v>Analyze the situation and handle it with intellect</v>
      </c>
      <c r="R31" t="str">
        <v>No</v>
      </c>
      <c r="S31">
        <v>4</v>
      </c>
      <c r="T31">
        <v>2</v>
      </c>
    </row>
    <row r="32" spans="1:20">
      <c r="A32" s="8" t="s">
        <v>88</v>
      </c>
      <c r="B32" s="8" t="s">
        <v>48</v>
      </c>
      <c r="C32" s="8">
        <v>5</v>
      </c>
      <c r="D32" s="8">
        <v>5</v>
      </c>
      <c r="E32" s="8" t="s">
        <v>60</v>
      </c>
      <c r="F32" s="8" t="s">
        <v>61</v>
      </c>
      <c r="G32" s="8" t="s">
        <v>83</v>
      </c>
      <c r="H32" s="8">
        <v>5</v>
      </c>
      <c r="I32" s="8">
        <v>5</v>
      </c>
      <c r="L32" t="str">
        <v>24/07/2025 22:14:16</v>
      </c>
      <c r="M32" t="str">
        <v>undergraduate</v>
      </c>
      <c r="N32">
        <v>3</v>
      </c>
      <c r="O32">
        <v>4</v>
      </c>
      <c r="P32" t="str">
        <v>disrupted</v>
      </c>
      <c r="Q32" t="str">
        <v>Social support (friends, family)</v>
      </c>
      <c r="R32" t="str">
        <v>prefer not to say</v>
      </c>
      <c r="S32">
        <v>3</v>
      </c>
      <c r="T32">
        <v>4</v>
      </c>
    </row>
    <row r="33" spans="1:20">
      <c r="A33" s="8" t="s">
        <v>89</v>
      </c>
      <c r="B33" s="8" t="s">
        <v>48</v>
      </c>
      <c r="C33" s="8">
        <v>3</v>
      </c>
      <c r="D33" s="8">
        <v>1</v>
      </c>
      <c r="E33" s="8" t="s">
        <v>60</v>
      </c>
      <c r="F33" s="8" t="s">
        <v>61</v>
      </c>
      <c r="G33" s="8" t="s">
        <v>51</v>
      </c>
      <c r="H33" s="8">
        <v>4</v>
      </c>
      <c r="I33" s="8">
        <v>4</v>
      </c>
      <c r="L33" t="str">
        <v>24/07/2025 22:15:06</v>
      </c>
      <c r="M33" t="str">
        <v>undergraduate</v>
      </c>
      <c r="N33">
        <v>5</v>
      </c>
      <c r="O33">
        <v>5</v>
      </c>
      <c r="P33" t="str">
        <v>Noisy</v>
      </c>
      <c r="Q33" t="str">
        <v>Analyze the situation and handle it with intellect</v>
      </c>
      <c r="R33" t="str">
        <v>No</v>
      </c>
      <c r="S33">
        <v>4</v>
      </c>
      <c r="T33">
        <v>4</v>
      </c>
    </row>
    <row r="34" spans="1:20">
      <c r="A34" s="8" t="s">
        <v>90</v>
      </c>
      <c r="B34" s="8" t="s">
        <v>48</v>
      </c>
      <c r="C34" s="8">
        <v>3</v>
      </c>
      <c r="D34" s="8">
        <v>2</v>
      </c>
      <c r="E34" s="8" t="s">
        <v>53</v>
      </c>
      <c r="F34" s="8" t="s">
        <v>61</v>
      </c>
      <c r="G34" s="8" t="s">
        <v>51</v>
      </c>
      <c r="H34" s="8">
        <v>4</v>
      </c>
      <c r="I34" s="8">
        <v>3</v>
      </c>
      <c r="L34" t="str">
        <v>24/07/2025 22:15:39</v>
      </c>
      <c r="M34" t="str">
        <v>undergraduate</v>
      </c>
      <c r="N34">
        <v>3</v>
      </c>
      <c r="O34">
        <v>3</v>
      </c>
      <c r="P34" t="str">
        <v>Peaceful</v>
      </c>
      <c r="Q34" t="str">
        <v>Analyze the situation and handle it with intellect</v>
      </c>
      <c r="R34" t="str">
        <v>No</v>
      </c>
      <c r="S34">
        <v>5</v>
      </c>
      <c r="T34">
        <v>5</v>
      </c>
    </row>
    <row r="35" spans="1:20">
      <c r="A35" s="8" t="s">
        <v>91</v>
      </c>
      <c r="B35" s="8" t="s">
        <v>48</v>
      </c>
      <c r="C35" s="8">
        <v>1</v>
      </c>
      <c r="D35" s="8">
        <v>1</v>
      </c>
      <c r="E35" s="8" t="s">
        <v>53</v>
      </c>
      <c r="F35" s="8" t="s">
        <v>50</v>
      </c>
      <c r="G35" s="8" t="s">
        <v>70</v>
      </c>
      <c r="H35" s="8">
        <v>1</v>
      </c>
      <c r="I35" s="8">
        <v>1</v>
      </c>
      <c r="L35" t="str">
        <v>24/07/2025 22:16:10</v>
      </c>
      <c r="M35" t="str">
        <v>undergraduate</v>
      </c>
      <c r="N35">
        <v>3</v>
      </c>
      <c r="O35">
        <v>5</v>
      </c>
      <c r="P35" t="str">
        <v>disrupted</v>
      </c>
      <c r="Q35" t="str">
        <v>Analyze the situation and handle it with intellect</v>
      </c>
      <c r="R35" t="str">
        <v>No</v>
      </c>
      <c r="S35">
        <v>5</v>
      </c>
      <c r="T35">
        <v>4</v>
      </c>
    </row>
    <row r="36" spans="1:20">
      <c r="A36" s="8" t="s">
        <v>92</v>
      </c>
      <c r="B36" s="8" t="s">
        <v>48</v>
      </c>
      <c r="C36" s="8">
        <v>1</v>
      </c>
      <c r="D36" s="8">
        <v>1</v>
      </c>
      <c r="E36" s="8" t="s">
        <v>53</v>
      </c>
      <c r="F36" s="8" t="s">
        <v>55</v>
      </c>
      <c r="G36" s="8" t="s">
        <v>70</v>
      </c>
      <c r="H36" s="8">
        <v>4</v>
      </c>
      <c r="I36" s="8">
        <v>3</v>
      </c>
      <c r="L36" t="str">
        <v>24/07/2025 22:16:53</v>
      </c>
      <c r="M36" t="str">
        <v>undergraduate</v>
      </c>
      <c r="N36">
        <v>3</v>
      </c>
      <c r="O36">
        <v>3</v>
      </c>
      <c r="P36" t="str">
        <v>Peaceful</v>
      </c>
      <c r="Q36" t="str">
        <v>Emotional breakdown (crying a lot)</v>
      </c>
      <c r="R36" t="str">
        <v>No</v>
      </c>
      <c r="S36">
        <v>4</v>
      </c>
      <c r="T36">
        <v>3</v>
      </c>
    </row>
    <row r="37" spans="1:20">
      <c r="A37" s="8" t="s">
        <v>93</v>
      </c>
      <c r="B37" s="8" t="s">
        <v>48</v>
      </c>
      <c r="C37" s="8">
        <v>3</v>
      </c>
      <c r="D37" s="8">
        <v>4</v>
      </c>
      <c r="E37" s="8" t="s">
        <v>49</v>
      </c>
      <c r="F37" s="8" t="s">
        <v>50</v>
      </c>
      <c r="G37" s="8" t="s">
        <v>51</v>
      </c>
      <c r="H37" s="8">
        <v>5</v>
      </c>
      <c r="I37" s="8">
        <v>4</v>
      </c>
      <c r="L37" t="str">
        <v>24/07/2025 22:17:46</v>
      </c>
      <c r="M37" t="str">
        <v>undergraduate</v>
      </c>
      <c r="N37">
        <v>3</v>
      </c>
      <c r="O37">
        <v>4</v>
      </c>
      <c r="P37" t="str">
        <v>Peaceful</v>
      </c>
      <c r="Q37" t="str">
        <v>Social support (friends, family)</v>
      </c>
      <c r="R37" t="str">
        <v>No</v>
      </c>
      <c r="S37">
        <v>4</v>
      </c>
      <c r="T37">
        <v>3</v>
      </c>
    </row>
    <row r="38" spans="1:20">
      <c r="A38" s="8" t="s">
        <v>94</v>
      </c>
      <c r="B38" s="8" t="s">
        <v>48</v>
      </c>
      <c r="C38" s="8">
        <v>4</v>
      </c>
      <c r="D38" s="8">
        <v>5</v>
      </c>
      <c r="E38" s="8" t="s">
        <v>60</v>
      </c>
      <c r="F38" s="8" t="s">
        <v>61</v>
      </c>
      <c r="G38" s="8" t="s">
        <v>83</v>
      </c>
      <c r="H38" s="8">
        <v>2</v>
      </c>
      <c r="I38" s="8">
        <v>3</v>
      </c>
      <c r="L38" t="str">
        <v>24/07/2025 22:18:02</v>
      </c>
      <c r="M38" t="str">
        <v>undergraduate</v>
      </c>
      <c r="N38">
        <v>4</v>
      </c>
      <c r="O38">
        <v>3</v>
      </c>
      <c r="P38" t="str">
        <v>Peaceful</v>
      </c>
      <c r="Q38" t="str">
        <v>Analyze the situation and handle it with intellect</v>
      </c>
      <c r="R38" t="str">
        <v>No</v>
      </c>
      <c r="S38">
        <v>4</v>
      </c>
      <c r="T38">
        <v>4</v>
      </c>
    </row>
    <row r="39" spans="1:20">
      <c r="A39" s="8" t="s">
        <v>95</v>
      </c>
      <c r="B39" s="8" t="s">
        <v>48</v>
      </c>
      <c r="C39" s="8">
        <v>1</v>
      </c>
      <c r="D39" s="8">
        <v>4</v>
      </c>
      <c r="E39" s="8" t="s">
        <v>53</v>
      </c>
      <c r="F39" s="8" t="s">
        <v>50</v>
      </c>
      <c r="G39" s="8" t="s">
        <v>51</v>
      </c>
      <c r="H39" s="8">
        <v>4</v>
      </c>
      <c r="I39" s="8">
        <v>4</v>
      </c>
      <c r="L39" t="str">
        <v>24/07/2025 22:18:44</v>
      </c>
      <c r="M39" t="str">
        <v>undergraduate</v>
      </c>
      <c r="N39">
        <v>3</v>
      </c>
      <c r="O39">
        <v>3</v>
      </c>
      <c r="P39" t="str">
        <v>Peaceful</v>
      </c>
      <c r="Q39" t="str">
        <v>Analyze the situation and handle it with intellect</v>
      </c>
      <c r="R39" t="str">
        <v>No</v>
      </c>
      <c r="S39">
        <v>4</v>
      </c>
      <c r="T39">
        <v>3</v>
      </c>
    </row>
    <row r="40" spans="1:20">
      <c r="A40" s="8" t="s">
        <v>96</v>
      </c>
      <c r="B40" s="8" t="s">
        <v>48</v>
      </c>
      <c r="C40" s="8">
        <v>3</v>
      </c>
      <c r="D40" s="8">
        <v>4</v>
      </c>
      <c r="E40" s="8" t="s">
        <v>53</v>
      </c>
      <c r="F40" s="8" t="s">
        <v>50</v>
      </c>
      <c r="G40" s="8" t="s">
        <v>51</v>
      </c>
      <c r="H40" s="8">
        <v>3</v>
      </c>
      <c r="I40" s="8">
        <v>4</v>
      </c>
      <c r="L40" t="str">
        <v>24/07/2025 22:18:55</v>
      </c>
      <c r="M40" t="str">
        <v>undergraduate</v>
      </c>
      <c r="N40">
        <v>3</v>
      </c>
      <c r="O40">
        <v>3</v>
      </c>
      <c r="P40" t="str">
        <v>Peaceful</v>
      </c>
      <c r="Q40" t="str">
        <v>Analyze the situation and handle it with intellect</v>
      </c>
      <c r="R40" t="str">
        <v>No</v>
      </c>
      <c r="S40">
        <v>4</v>
      </c>
      <c r="T40">
        <v>3</v>
      </c>
    </row>
    <row r="41" spans="1:20">
      <c r="A41" s="8" t="s">
        <v>97</v>
      </c>
      <c r="B41" s="8" t="s">
        <v>48</v>
      </c>
      <c r="C41" s="8">
        <v>3</v>
      </c>
      <c r="D41" s="8">
        <v>2</v>
      </c>
      <c r="E41" s="8" t="s">
        <v>53</v>
      </c>
      <c r="F41" s="8" t="s">
        <v>55</v>
      </c>
      <c r="G41" s="8" t="s">
        <v>51</v>
      </c>
      <c r="H41" s="8">
        <v>3</v>
      </c>
      <c r="I41" s="8">
        <v>4</v>
      </c>
      <c r="L41" t="str">
        <v>24/07/2025 22:18:58</v>
      </c>
      <c r="M41" t="str">
        <v>undergraduate</v>
      </c>
      <c r="N41">
        <v>5</v>
      </c>
      <c r="O41">
        <v>1</v>
      </c>
      <c r="P41" t="str">
        <v>disrupted</v>
      </c>
      <c r="Q41" t="str">
        <v>Analyze the situation and handle it with intellect</v>
      </c>
      <c r="R41" t="str">
        <v>No</v>
      </c>
      <c r="S41">
        <v>5</v>
      </c>
      <c r="T41">
        <v>3</v>
      </c>
    </row>
    <row r="42" spans="1:20">
      <c r="A42" s="8" t="s">
        <v>98</v>
      </c>
      <c r="B42" s="8" t="s">
        <v>48</v>
      </c>
      <c r="C42" s="8">
        <v>3</v>
      </c>
      <c r="D42" s="8">
        <v>4</v>
      </c>
      <c r="E42" s="8" t="s">
        <v>60</v>
      </c>
      <c r="F42" s="8" t="s">
        <v>50</v>
      </c>
      <c r="G42" s="8" t="s">
        <v>51</v>
      </c>
      <c r="H42" s="8">
        <v>5</v>
      </c>
      <c r="I42" s="8">
        <v>5</v>
      </c>
      <c r="L42" t="str">
        <v>24/07/2025 22:19:06</v>
      </c>
      <c r="M42" t="str">
        <v>undergraduate</v>
      </c>
      <c r="N42">
        <v>4</v>
      </c>
      <c r="O42">
        <v>5</v>
      </c>
      <c r="P42" t="str">
        <v>disrupted</v>
      </c>
      <c r="Q42" t="str">
        <v>Analyze the situation and handle it with intellect</v>
      </c>
      <c r="R42" t="str">
        <v>No</v>
      </c>
      <c r="S42">
        <v>4</v>
      </c>
      <c r="T42">
        <v>4</v>
      </c>
    </row>
    <row r="43" spans="1:20">
      <c r="A43" s="8" t="s">
        <v>99</v>
      </c>
      <c r="B43" s="8" t="s">
        <v>100</v>
      </c>
      <c r="C43" s="8">
        <v>3</v>
      </c>
      <c r="D43" s="8">
        <v>5</v>
      </c>
      <c r="E43" s="8" t="s">
        <v>53</v>
      </c>
      <c r="F43" s="8" t="s">
        <v>50</v>
      </c>
      <c r="G43" s="8" t="s">
        <v>51</v>
      </c>
      <c r="H43" s="8">
        <v>3</v>
      </c>
      <c r="I43" s="8">
        <v>3</v>
      </c>
      <c r="L43" t="str">
        <v>24/07/2025 22:19:22</v>
      </c>
      <c r="M43" t="str">
        <v>undergraduate</v>
      </c>
      <c r="N43">
        <v>4</v>
      </c>
      <c r="O43">
        <v>3</v>
      </c>
      <c r="P43" t="str">
        <v>Peaceful</v>
      </c>
      <c r="Q43" t="str">
        <v>Analyze the situation and handle it with intellect</v>
      </c>
      <c r="R43" t="str">
        <v>No</v>
      </c>
      <c r="S43">
        <v>4</v>
      </c>
      <c r="T43">
        <v>4</v>
      </c>
    </row>
    <row r="44" spans="1:20">
      <c r="A44" s="8" t="s">
        <v>101</v>
      </c>
      <c r="B44" s="8" t="s">
        <v>48</v>
      </c>
      <c r="C44" s="8">
        <v>3</v>
      </c>
      <c r="D44" s="8">
        <v>5</v>
      </c>
      <c r="E44" s="8" t="s">
        <v>53</v>
      </c>
      <c r="F44" s="8" t="s">
        <v>50</v>
      </c>
      <c r="G44" s="8" t="s">
        <v>51</v>
      </c>
      <c r="H44" s="8">
        <v>4</v>
      </c>
      <c r="I44" s="8">
        <v>5</v>
      </c>
      <c r="L44" t="str">
        <v>24/07/2025 22:19:25</v>
      </c>
      <c r="M44" t="str">
        <v>undergraduate</v>
      </c>
      <c r="N44">
        <v>4</v>
      </c>
      <c r="O44">
        <v>5</v>
      </c>
      <c r="P44" t="str">
        <v>disrupted</v>
      </c>
      <c r="Q44" t="str">
        <v>Analyze the situation and handle it with intellect</v>
      </c>
      <c r="R44" t="str">
        <v>Yes</v>
      </c>
      <c r="S44">
        <v>4</v>
      </c>
      <c r="T44">
        <v>5</v>
      </c>
    </row>
    <row r="45" spans="1:20">
      <c r="A45" s="8" t="s">
        <v>102</v>
      </c>
      <c r="B45" s="8" t="s">
        <v>48</v>
      </c>
      <c r="C45" s="8">
        <v>5</v>
      </c>
      <c r="D45" s="8">
        <v>4</v>
      </c>
      <c r="E45" s="8" t="s">
        <v>60</v>
      </c>
      <c r="F45" s="8" t="s">
        <v>61</v>
      </c>
      <c r="G45" s="8" t="s">
        <v>51</v>
      </c>
      <c r="H45" s="8">
        <v>5</v>
      </c>
      <c r="I45" s="8">
        <v>5</v>
      </c>
      <c r="L45" t="str">
        <v>24/07/2025 22:19:51</v>
      </c>
      <c r="M45" t="str">
        <v>undergraduate</v>
      </c>
      <c r="N45">
        <v>5</v>
      </c>
      <c r="O45">
        <v>1</v>
      </c>
      <c r="P45" t="str">
        <v>disrupted</v>
      </c>
      <c r="Q45" t="str">
        <v>Social support (friends, family)</v>
      </c>
      <c r="R45" t="str">
        <v>No</v>
      </c>
      <c r="S45">
        <v>4</v>
      </c>
      <c r="T45">
        <v>5</v>
      </c>
    </row>
    <row r="46" spans="1:20">
      <c r="A46" s="8" t="s">
        <v>103</v>
      </c>
      <c r="B46" s="8" t="s">
        <v>48</v>
      </c>
      <c r="C46" s="8">
        <v>4</v>
      </c>
      <c r="D46" s="8">
        <v>2</v>
      </c>
      <c r="E46" s="8" t="s">
        <v>49</v>
      </c>
      <c r="F46" s="8" t="s">
        <v>50</v>
      </c>
      <c r="G46" s="8" t="s">
        <v>51</v>
      </c>
      <c r="H46" s="8">
        <v>2</v>
      </c>
      <c r="I46" s="8">
        <v>2</v>
      </c>
      <c r="L46" t="str">
        <v>24/07/2025 22:20:28</v>
      </c>
      <c r="M46" t="str">
        <v>undergraduate</v>
      </c>
      <c r="N46">
        <v>4</v>
      </c>
      <c r="O46">
        <v>3</v>
      </c>
      <c r="P46" t="str">
        <v>Peaceful</v>
      </c>
      <c r="Q46" t="str">
        <v>Analyze the situation and handle it with intellect</v>
      </c>
      <c r="R46" t="str">
        <v>No</v>
      </c>
      <c r="S46">
        <v>5</v>
      </c>
      <c r="T46">
        <v>4</v>
      </c>
    </row>
    <row r="47" spans="1:20">
      <c r="A47" s="8" t="s">
        <v>104</v>
      </c>
      <c r="B47" s="8" t="s">
        <v>48</v>
      </c>
      <c r="C47" s="8">
        <v>3</v>
      </c>
      <c r="D47" s="8">
        <v>2</v>
      </c>
      <c r="E47" s="8" t="s">
        <v>53</v>
      </c>
      <c r="F47" s="8" t="s">
        <v>50</v>
      </c>
      <c r="G47" s="8" t="s">
        <v>51</v>
      </c>
      <c r="H47" s="8">
        <v>4</v>
      </c>
      <c r="I47" s="8">
        <v>3</v>
      </c>
      <c r="L47" t="str">
        <v>24/07/2025 22:21:04</v>
      </c>
      <c r="M47" t="str">
        <v>undergraduate</v>
      </c>
      <c r="N47">
        <v>5</v>
      </c>
      <c r="O47">
        <v>5</v>
      </c>
      <c r="P47" t="str">
        <v>disrupted</v>
      </c>
      <c r="Q47" t="str">
        <v>Emotional breakdown (crying a lot)</v>
      </c>
      <c r="R47" t="str">
        <v>Yes</v>
      </c>
      <c r="S47">
        <v>5</v>
      </c>
      <c r="T47">
        <v>5</v>
      </c>
    </row>
    <row r="48" spans="1:20">
      <c r="A48" s="8" t="s">
        <v>105</v>
      </c>
      <c r="B48" s="8" t="s">
        <v>48</v>
      </c>
      <c r="C48" s="8">
        <v>5</v>
      </c>
      <c r="D48" s="8">
        <v>5</v>
      </c>
      <c r="E48" s="8" t="s">
        <v>49</v>
      </c>
      <c r="F48" s="8" t="s">
        <v>61</v>
      </c>
      <c r="G48" s="8" t="s">
        <v>70</v>
      </c>
      <c r="H48" s="8">
        <v>4</v>
      </c>
      <c r="I48" s="8">
        <v>5</v>
      </c>
      <c r="L48" t="str">
        <v>24/07/2025 22:23:15</v>
      </c>
      <c r="M48" t="str">
        <v>undergraduate</v>
      </c>
      <c r="N48">
        <v>3</v>
      </c>
      <c r="O48">
        <v>1</v>
      </c>
      <c r="P48" t="str">
        <v>disrupted</v>
      </c>
      <c r="Q48" t="str">
        <v>Emotional breakdown (crying a lot)</v>
      </c>
      <c r="R48" t="str">
        <v>No</v>
      </c>
      <c r="S48">
        <v>4</v>
      </c>
      <c r="T48">
        <v>4</v>
      </c>
    </row>
    <row r="49" spans="1:20">
      <c r="A49" s="8" t="s">
        <v>106</v>
      </c>
      <c r="B49" s="8" t="s">
        <v>48</v>
      </c>
      <c r="C49" s="8">
        <v>2</v>
      </c>
      <c r="D49" s="8">
        <v>4</v>
      </c>
      <c r="E49" s="8" t="s">
        <v>53</v>
      </c>
      <c r="F49" s="8" t="s">
        <v>50</v>
      </c>
      <c r="G49" s="8" t="s">
        <v>51</v>
      </c>
      <c r="H49" s="8">
        <v>4</v>
      </c>
      <c r="I49" s="8">
        <v>4</v>
      </c>
      <c r="L49" t="str">
        <v>24/07/2025 22:24:13</v>
      </c>
      <c r="M49" t="str">
        <v>undergraduate</v>
      </c>
      <c r="N49">
        <v>3</v>
      </c>
      <c r="O49">
        <v>2</v>
      </c>
      <c r="P49" t="str">
        <v>Peaceful</v>
      </c>
      <c r="Q49" t="str">
        <v>Emotional breakdown (crying a lot)</v>
      </c>
      <c r="R49" t="str">
        <v>No</v>
      </c>
      <c r="S49">
        <v>4</v>
      </c>
      <c r="T49">
        <v>3</v>
      </c>
    </row>
    <row r="50" spans="1:20">
      <c r="A50" s="8" t="s">
        <v>107</v>
      </c>
      <c r="B50" s="8" t="s">
        <v>48</v>
      </c>
      <c r="C50" s="8">
        <v>3</v>
      </c>
      <c r="D50" s="8">
        <v>4</v>
      </c>
      <c r="E50" s="8" t="s">
        <v>49</v>
      </c>
      <c r="F50" s="8" t="s">
        <v>61</v>
      </c>
      <c r="G50" s="8" t="s">
        <v>83</v>
      </c>
      <c r="H50" s="8">
        <v>4</v>
      </c>
      <c r="I50" s="8">
        <v>5</v>
      </c>
      <c r="L50" t="str">
        <v>24/07/2025 22:24:53</v>
      </c>
      <c r="M50" t="str">
        <v>undergraduate</v>
      </c>
      <c r="N50">
        <v>1</v>
      </c>
      <c r="O50">
        <v>1</v>
      </c>
      <c r="P50" t="str">
        <v>Peaceful</v>
      </c>
      <c r="Q50" t="str">
        <v>Analyze the situation and handle it with intellect</v>
      </c>
      <c r="R50" t="str">
        <v>prefer not to say</v>
      </c>
      <c r="S50">
        <v>1</v>
      </c>
      <c r="T50">
        <v>1</v>
      </c>
    </row>
    <row r="51" spans="1:20">
      <c r="A51" s="8" t="s">
        <v>108</v>
      </c>
      <c r="B51" s="8" t="s">
        <v>48</v>
      </c>
      <c r="C51" s="8">
        <v>2</v>
      </c>
      <c r="D51" s="8">
        <v>3</v>
      </c>
      <c r="E51" s="8" t="s">
        <v>60</v>
      </c>
      <c r="F51" s="8" t="s">
        <v>55</v>
      </c>
      <c r="G51" s="8" t="s">
        <v>51</v>
      </c>
      <c r="H51" s="8">
        <v>2</v>
      </c>
      <c r="I51" s="8">
        <v>3</v>
      </c>
      <c r="L51" t="str">
        <v>24/07/2025 22:25:17</v>
      </c>
      <c r="M51" t="str">
        <v>undergraduate</v>
      </c>
      <c r="N51">
        <v>1</v>
      </c>
      <c r="O51">
        <v>1</v>
      </c>
      <c r="P51" t="str">
        <v>Peaceful</v>
      </c>
      <c r="Q51" t="str">
        <v>Social support (friends, family)</v>
      </c>
      <c r="R51" t="str">
        <v>prefer not to say</v>
      </c>
      <c r="S51">
        <v>4</v>
      </c>
      <c r="T51">
        <v>3</v>
      </c>
    </row>
    <row r="52" spans="1:20">
      <c r="A52" s="8" t="s">
        <v>109</v>
      </c>
      <c r="B52" s="8" t="s">
        <v>48</v>
      </c>
      <c r="C52" s="8">
        <v>3</v>
      </c>
      <c r="D52" s="8">
        <v>3</v>
      </c>
      <c r="E52" s="8" t="s">
        <v>53</v>
      </c>
      <c r="F52" s="8" t="s">
        <v>50</v>
      </c>
      <c r="G52" s="8" t="s">
        <v>51</v>
      </c>
      <c r="H52" s="8">
        <v>4</v>
      </c>
      <c r="I52" s="8">
        <v>3</v>
      </c>
      <c r="L52" t="str">
        <v>24/07/2025 22:25:27</v>
      </c>
      <c r="M52" t="str">
        <v>undergraduate</v>
      </c>
      <c r="N52">
        <v>3</v>
      </c>
      <c r="O52">
        <v>4</v>
      </c>
      <c r="P52" t="str">
        <v>Noisy</v>
      </c>
      <c r="Q52" t="str">
        <v>Analyze the situation and handle it with intellect</v>
      </c>
      <c r="R52" t="str">
        <v>No</v>
      </c>
      <c r="S52">
        <v>5</v>
      </c>
      <c r="T52">
        <v>4</v>
      </c>
    </row>
    <row r="53" spans="1:20">
      <c r="A53" s="8" t="s">
        <v>110</v>
      </c>
      <c r="B53" s="8" t="s">
        <v>48</v>
      </c>
      <c r="C53" s="8">
        <v>4</v>
      </c>
      <c r="D53" s="8">
        <v>4</v>
      </c>
      <c r="E53" s="8" t="s">
        <v>49</v>
      </c>
      <c r="F53" s="8" t="s">
        <v>50</v>
      </c>
      <c r="G53" s="8" t="s">
        <v>51</v>
      </c>
      <c r="H53" s="8">
        <v>5</v>
      </c>
      <c r="I53" s="8">
        <v>4</v>
      </c>
      <c r="L53" t="str">
        <v>24/07/2025 22:25:41</v>
      </c>
      <c r="M53" t="str">
        <v>undergraduate</v>
      </c>
      <c r="N53">
        <v>4</v>
      </c>
      <c r="O53">
        <v>5</v>
      </c>
      <c r="P53" t="str">
        <v>disrupted</v>
      </c>
      <c r="Q53" t="str">
        <v>Emotional breakdown (crying a lot)</v>
      </c>
      <c r="R53" t="str">
        <v>Yes</v>
      </c>
      <c r="S53">
        <v>2</v>
      </c>
      <c r="T53">
        <v>3</v>
      </c>
    </row>
    <row r="54" spans="1:20">
      <c r="A54" s="8" t="s">
        <v>111</v>
      </c>
      <c r="B54" s="8" t="s">
        <v>48</v>
      </c>
      <c r="C54" s="8">
        <v>4</v>
      </c>
      <c r="D54" s="8">
        <v>5</v>
      </c>
      <c r="E54" s="8" t="s">
        <v>53</v>
      </c>
      <c r="F54" s="8" t="s">
        <v>50</v>
      </c>
      <c r="G54" s="8" t="s">
        <v>51</v>
      </c>
      <c r="H54" s="8">
        <v>5</v>
      </c>
      <c r="I54" s="8">
        <v>4</v>
      </c>
      <c r="L54" t="str">
        <v>24/07/2025 22:28:58</v>
      </c>
      <c r="M54" t="str">
        <v>undergraduate</v>
      </c>
      <c r="N54">
        <v>1</v>
      </c>
      <c r="O54">
        <v>4</v>
      </c>
      <c r="P54" t="str">
        <v>Peaceful</v>
      </c>
      <c r="Q54" t="str">
        <v>Analyze the situation and handle it with intellect</v>
      </c>
      <c r="R54" t="str">
        <v>No</v>
      </c>
      <c r="S54">
        <v>4</v>
      </c>
      <c r="T54">
        <v>4</v>
      </c>
    </row>
    <row r="55" spans="1:20">
      <c r="A55" s="8" t="s">
        <v>112</v>
      </c>
      <c r="B55" s="8" t="s">
        <v>48</v>
      </c>
      <c r="C55" s="8">
        <v>3</v>
      </c>
      <c r="D55" s="8">
        <v>3</v>
      </c>
      <c r="E55" s="8" t="s">
        <v>60</v>
      </c>
      <c r="F55" s="8" t="s">
        <v>61</v>
      </c>
      <c r="G55" s="8" t="s">
        <v>51</v>
      </c>
      <c r="H55" s="8">
        <v>4</v>
      </c>
      <c r="I55" s="8">
        <v>4</v>
      </c>
      <c r="L55" t="str">
        <v>24/07/2025 22:29:26</v>
      </c>
      <c r="M55" t="str">
        <v>undergraduate</v>
      </c>
      <c r="N55">
        <v>3</v>
      </c>
      <c r="O55">
        <v>4</v>
      </c>
      <c r="P55" t="str">
        <v>Peaceful</v>
      </c>
      <c r="Q55" t="str">
        <v>Analyze the situation and handle it with intellect</v>
      </c>
      <c r="R55" t="str">
        <v>No</v>
      </c>
      <c r="S55">
        <v>3</v>
      </c>
      <c r="T55">
        <v>4</v>
      </c>
    </row>
    <row r="56" spans="1:20">
      <c r="A56" s="8" t="s">
        <v>113</v>
      </c>
      <c r="B56" s="8" t="s">
        <v>48</v>
      </c>
      <c r="C56" s="8">
        <v>3</v>
      </c>
      <c r="D56" s="8">
        <v>1</v>
      </c>
      <c r="E56" s="8" t="s">
        <v>49</v>
      </c>
      <c r="F56" s="8" t="s">
        <v>50</v>
      </c>
      <c r="G56" s="8" t="s">
        <v>51</v>
      </c>
      <c r="H56" s="8">
        <v>3</v>
      </c>
      <c r="I56" s="8">
        <v>3</v>
      </c>
      <c r="L56" t="str">
        <v>24/07/2025 22:30:29</v>
      </c>
      <c r="M56" t="str">
        <v>undergraduate</v>
      </c>
      <c r="N56">
        <v>3</v>
      </c>
      <c r="O56">
        <v>2</v>
      </c>
      <c r="P56" t="str">
        <v>Peaceful</v>
      </c>
      <c r="Q56" t="str">
        <v>Social support (friends, family)</v>
      </c>
      <c r="R56" t="str">
        <v>No</v>
      </c>
      <c r="S56">
        <v>3</v>
      </c>
      <c r="T56">
        <v>4</v>
      </c>
    </row>
    <row r="57" spans="1:20">
      <c r="A57" s="8" t="s">
        <v>114</v>
      </c>
      <c r="B57" s="8" t="s">
        <v>48</v>
      </c>
      <c r="C57" s="8">
        <v>3</v>
      </c>
      <c r="D57" s="8">
        <v>2</v>
      </c>
      <c r="E57" s="8" t="s">
        <v>53</v>
      </c>
      <c r="F57" s="8" t="s">
        <v>50</v>
      </c>
      <c r="G57" s="8" t="s">
        <v>51</v>
      </c>
      <c r="H57" s="8">
        <v>4</v>
      </c>
      <c r="I57" s="8">
        <v>4</v>
      </c>
      <c r="L57" t="str">
        <v>24/07/2025 22:32:22</v>
      </c>
      <c r="M57" t="str">
        <v>undergraduate</v>
      </c>
      <c r="N57">
        <v>3</v>
      </c>
      <c r="O57">
        <v>4</v>
      </c>
      <c r="P57" t="str">
        <v>disrupted</v>
      </c>
      <c r="Q57" t="str">
        <v>Analyze the situation and handle it with intellect</v>
      </c>
      <c r="R57" t="str">
        <v>No</v>
      </c>
      <c r="S57">
        <v>5</v>
      </c>
      <c r="T57">
        <v>5</v>
      </c>
    </row>
    <row r="58" spans="1:20">
      <c r="A58" s="8" t="s">
        <v>115</v>
      </c>
      <c r="B58" s="8" t="s">
        <v>100</v>
      </c>
      <c r="C58" s="8">
        <v>4</v>
      </c>
      <c r="D58" s="8">
        <v>4</v>
      </c>
      <c r="E58" s="8" t="s">
        <v>60</v>
      </c>
      <c r="F58" s="8" t="s">
        <v>50</v>
      </c>
      <c r="G58" s="8" t="s">
        <v>70</v>
      </c>
      <c r="H58" s="8">
        <v>5</v>
      </c>
      <c r="I58" s="8">
        <v>4</v>
      </c>
      <c r="L58" t="str">
        <v>24/07/2025 22:32:37</v>
      </c>
      <c r="M58" t="str">
        <v>undergraduate</v>
      </c>
      <c r="N58">
        <v>3</v>
      </c>
      <c r="O58">
        <v>5</v>
      </c>
      <c r="P58" t="str">
        <v>Peaceful</v>
      </c>
      <c r="Q58" t="str">
        <v>Analyze the situation and handle it with intellect</v>
      </c>
      <c r="R58" t="str">
        <v>No</v>
      </c>
      <c r="S58">
        <v>4</v>
      </c>
      <c r="T58">
        <v>5</v>
      </c>
    </row>
    <row r="59" spans="1:20">
      <c r="A59" s="8" t="s">
        <v>116</v>
      </c>
      <c r="B59" s="8" t="s">
        <v>48</v>
      </c>
      <c r="C59" s="8">
        <v>3</v>
      </c>
      <c r="D59" s="8">
        <v>1</v>
      </c>
      <c r="E59" s="8" t="s">
        <v>49</v>
      </c>
      <c r="F59" s="8" t="s">
        <v>50</v>
      </c>
      <c r="G59" s="8" t="s">
        <v>51</v>
      </c>
      <c r="H59" s="8">
        <v>4</v>
      </c>
      <c r="I59" s="8">
        <v>4</v>
      </c>
      <c r="L59" t="str">
        <v>24/07/2025 22:33:48</v>
      </c>
      <c r="M59" t="str">
        <v>undergraduate</v>
      </c>
      <c r="N59">
        <v>5</v>
      </c>
      <c r="O59">
        <v>4</v>
      </c>
      <c r="P59" t="str">
        <v>disrupted</v>
      </c>
      <c r="Q59" t="str">
        <v>Emotional breakdown (crying a lot)</v>
      </c>
      <c r="R59" t="str">
        <v>No</v>
      </c>
      <c r="S59">
        <v>5</v>
      </c>
      <c r="T59">
        <v>5</v>
      </c>
    </row>
    <row r="60" spans="1:20">
      <c r="A60" s="8" t="s">
        <v>117</v>
      </c>
      <c r="B60" s="8" t="s">
        <v>48</v>
      </c>
      <c r="C60" s="8">
        <v>2</v>
      </c>
      <c r="D60" s="8">
        <v>3</v>
      </c>
      <c r="E60" s="8" t="s">
        <v>60</v>
      </c>
      <c r="F60" s="8" t="s">
        <v>50</v>
      </c>
      <c r="G60" s="8" t="s">
        <v>51</v>
      </c>
      <c r="H60" s="8">
        <v>4</v>
      </c>
      <c r="I60" s="8">
        <v>3</v>
      </c>
      <c r="L60" t="str">
        <v>24/07/2025 22:34:34</v>
      </c>
      <c r="M60" t="str">
        <v>undergraduate</v>
      </c>
      <c r="N60">
        <v>4</v>
      </c>
      <c r="O60">
        <v>2</v>
      </c>
      <c r="P60" t="str">
        <v>Noisy</v>
      </c>
      <c r="Q60" t="str">
        <v>Analyze the situation and handle it with intellect</v>
      </c>
      <c r="R60" t="str">
        <v>No</v>
      </c>
      <c r="S60">
        <v>2</v>
      </c>
      <c r="T60">
        <v>2</v>
      </c>
    </row>
    <row r="61" spans="1:20">
      <c r="A61" s="8" t="s">
        <v>118</v>
      </c>
      <c r="B61" s="8" t="s">
        <v>48</v>
      </c>
      <c r="C61" s="8">
        <v>3</v>
      </c>
      <c r="D61" s="8">
        <v>1</v>
      </c>
      <c r="E61" s="8" t="s">
        <v>49</v>
      </c>
      <c r="F61" s="8" t="s">
        <v>50</v>
      </c>
      <c r="G61" s="8" t="s">
        <v>51</v>
      </c>
      <c r="H61" s="8">
        <v>3</v>
      </c>
      <c r="I61" s="8">
        <v>5</v>
      </c>
      <c r="L61" t="str">
        <v>24/07/2025 22:34:41</v>
      </c>
      <c r="M61" t="str">
        <v>undergraduate</v>
      </c>
      <c r="N61">
        <v>3</v>
      </c>
      <c r="O61">
        <v>2</v>
      </c>
      <c r="P61" t="str">
        <v>Peaceful</v>
      </c>
      <c r="Q61" t="str">
        <v>Analyze the situation and handle it with intellect</v>
      </c>
      <c r="R61" t="str">
        <v>No</v>
      </c>
      <c r="S61">
        <v>4</v>
      </c>
      <c r="T61">
        <v>3</v>
      </c>
    </row>
    <row r="62" spans="1:20">
      <c r="A62" s="8" t="s">
        <v>119</v>
      </c>
      <c r="B62" s="8" t="s">
        <v>48</v>
      </c>
      <c r="C62" s="8">
        <v>2</v>
      </c>
      <c r="D62" s="8">
        <v>1</v>
      </c>
      <c r="E62" s="8" t="s">
        <v>53</v>
      </c>
      <c r="F62" s="8" t="s">
        <v>61</v>
      </c>
      <c r="G62" s="8" t="s">
        <v>51</v>
      </c>
      <c r="H62" s="8">
        <v>5</v>
      </c>
      <c r="I62" s="8">
        <v>4</v>
      </c>
      <c r="L62" t="str">
        <v>24/07/2025 22:34:53</v>
      </c>
      <c r="M62" t="str">
        <v>undergraduate</v>
      </c>
      <c r="N62">
        <v>5</v>
      </c>
      <c r="O62">
        <v>5</v>
      </c>
      <c r="P62" t="str">
        <v>Noisy</v>
      </c>
      <c r="Q62" t="str">
        <v>Emotional breakdown (crying a lot)</v>
      </c>
      <c r="R62" t="str">
        <v>prefer not to say</v>
      </c>
      <c r="S62">
        <v>4</v>
      </c>
      <c r="T62">
        <v>5</v>
      </c>
    </row>
    <row r="63" spans="1:20">
      <c r="A63" s="8" t="s">
        <v>120</v>
      </c>
      <c r="B63" s="8" t="s">
        <v>48</v>
      </c>
      <c r="C63" s="8">
        <v>2</v>
      </c>
      <c r="D63" s="8">
        <v>3</v>
      </c>
      <c r="E63" s="8" t="s">
        <v>53</v>
      </c>
      <c r="F63" s="8" t="s">
        <v>50</v>
      </c>
      <c r="G63" s="8" t="s">
        <v>51</v>
      </c>
      <c r="H63" s="8">
        <v>3</v>
      </c>
      <c r="I63" s="8">
        <v>2</v>
      </c>
      <c r="L63" t="str">
        <v>24/07/2025 22:38:47</v>
      </c>
      <c r="M63" t="str">
        <v>undergraduate</v>
      </c>
      <c r="N63">
        <v>2</v>
      </c>
      <c r="O63">
        <v>4</v>
      </c>
      <c r="P63" t="str">
        <v>Peaceful</v>
      </c>
      <c r="Q63" t="str">
        <v>Analyze the situation and handle it with intellect</v>
      </c>
      <c r="R63" t="str">
        <v>No</v>
      </c>
      <c r="S63">
        <v>4</v>
      </c>
      <c r="T63">
        <v>4</v>
      </c>
    </row>
    <row r="64" spans="1:20">
      <c r="A64" s="8" t="s">
        <v>121</v>
      </c>
      <c r="B64" s="8" t="s">
        <v>48</v>
      </c>
      <c r="C64" s="8">
        <v>4</v>
      </c>
      <c r="D64" s="8">
        <v>4</v>
      </c>
      <c r="E64" s="8" t="s">
        <v>60</v>
      </c>
      <c r="F64" s="8" t="s">
        <v>61</v>
      </c>
      <c r="G64" s="8" t="s">
        <v>51</v>
      </c>
      <c r="H64" s="8">
        <v>4</v>
      </c>
      <c r="I64" s="8">
        <v>4</v>
      </c>
      <c r="L64" t="str">
        <v>24/07/2025 22:39:36</v>
      </c>
      <c r="M64" t="str">
        <v>undergraduate</v>
      </c>
      <c r="N64">
        <v>3</v>
      </c>
      <c r="O64">
        <v>4</v>
      </c>
      <c r="P64" t="str">
        <v>Noisy</v>
      </c>
      <c r="Q64" t="str">
        <v>Emotional breakdown (crying a lot)</v>
      </c>
      <c r="R64" t="str">
        <v>Yes</v>
      </c>
      <c r="S64">
        <v>4</v>
      </c>
      <c r="T64">
        <v>5</v>
      </c>
    </row>
    <row r="65" spans="1:20">
      <c r="A65" s="8" t="s">
        <v>122</v>
      </c>
      <c r="B65" s="8" t="s">
        <v>48</v>
      </c>
      <c r="C65" s="8">
        <v>3</v>
      </c>
      <c r="D65" s="8">
        <v>3</v>
      </c>
      <c r="E65" s="8" t="s">
        <v>60</v>
      </c>
      <c r="F65" s="8" t="s">
        <v>50</v>
      </c>
      <c r="G65" s="8" t="s">
        <v>51</v>
      </c>
      <c r="H65" s="8">
        <v>4</v>
      </c>
      <c r="I65" s="8">
        <v>4</v>
      </c>
      <c r="L65" t="str">
        <v>24/07/2025 22:41:41</v>
      </c>
      <c r="M65" t="str">
        <v>undergraduate</v>
      </c>
      <c r="N65">
        <v>2</v>
      </c>
      <c r="O65">
        <v>3</v>
      </c>
      <c r="P65" t="str">
        <v>disrupted</v>
      </c>
      <c r="Q65" t="str">
        <v>Social support (friends, family)</v>
      </c>
      <c r="R65" t="str">
        <v>No</v>
      </c>
      <c r="S65">
        <v>2</v>
      </c>
      <c r="T65">
        <v>3</v>
      </c>
    </row>
    <row r="66" spans="1:20">
      <c r="A66" s="8" t="s">
        <v>123</v>
      </c>
      <c r="B66" s="8" t="s">
        <v>48</v>
      </c>
      <c r="C66" s="8">
        <v>3</v>
      </c>
      <c r="D66" s="8">
        <v>2</v>
      </c>
      <c r="E66" s="8" t="s">
        <v>53</v>
      </c>
      <c r="F66" s="8" t="s">
        <v>61</v>
      </c>
      <c r="G66" s="8" t="s">
        <v>51</v>
      </c>
      <c r="H66" s="8">
        <v>3</v>
      </c>
      <c r="I66" s="8">
        <v>3</v>
      </c>
      <c r="L66" t="str">
        <v>24/07/2025 22:42:11</v>
      </c>
      <c r="M66" t="str">
        <v>undergraduate</v>
      </c>
      <c r="N66">
        <v>3</v>
      </c>
      <c r="O66">
        <v>3</v>
      </c>
      <c r="P66" t="str">
        <v>Peaceful</v>
      </c>
      <c r="Q66" t="str">
        <v>Analyze the situation and handle it with intellect</v>
      </c>
      <c r="R66" t="str">
        <v>No</v>
      </c>
      <c r="S66">
        <v>4</v>
      </c>
      <c r="T66">
        <v>3</v>
      </c>
    </row>
    <row r="67" spans="1:20">
      <c r="A67" s="8" t="s">
        <v>124</v>
      </c>
      <c r="B67" s="8" t="s">
        <v>48</v>
      </c>
      <c r="C67" s="8">
        <v>4</v>
      </c>
      <c r="D67" s="8">
        <v>5</v>
      </c>
      <c r="E67" s="8" t="s">
        <v>60</v>
      </c>
      <c r="F67" s="8" t="s">
        <v>61</v>
      </c>
      <c r="G67" s="8" t="s">
        <v>51</v>
      </c>
      <c r="H67" s="8">
        <v>2</v>
      </c>
      <c r="I67" s="8">
        <v>2</v>
      </c>
      <c r="L67" t="str">
        <v>24/07/2025 22:42:25</v>
      </c>
      <c r="M67" t="str">
        <v>undergraduate</v>
      </c>
      <c r="N67">
        <v>4</v>
      </c>
      <c r="O67">
        <v>4</v>
      </c>
      <c r="P67" t="str">
        <v>Noisy</v>
      </c>
      <c r="Q67" t="str">
        <v>Analyze the situation and handle it with intellect</v>
      </c>
      <c r="R67" t="str">
        <v>No</v>
      </c>
      <c r="S67">
        <v>5</v>
      </c>
      <c r="T67">
        <v>4</v>
      </c>
    </row>
    <row r="68" spans="1:20">
      <c r="A68" s="8" t="s">
        <v>125</v>
      </c>
      <c r="B68" s="8" t="s">
        <v>48</v>
      </c>
      <c r="C68" s="8">
        <v>4</v>
      </c>
      <c r="D68" s="8">
        <v>3</v>
      </c>
      <c r="E68" s="8" t="s">
        <v>53</v>
      </c>
      <c r="F68" s="8" t="s">
        <v>50</v>
      </c>
      <c r="G68" s="8" t="s">
        <v>51</v>
      </c>
      <c r="H68" s="8">
        <v>2</v>
      </c>
      <c r="I68" s="8">
        <v>5</v>
      </c>
      <c r="L68" t="str">
        <v>24/07/2025 22:42:48</v>
      </c>
      <c r="M68" t="str">
        <v>undergraduate</v>
      </c>
      <c r="N68">
        <v>4</v>
      </c>
      <c r="O68">
        <v>5</v>
      </c>
      <c r="P68" t="str">
        <v>Peaceful</v>
      </c>
      <c r="Q68" t="str">
        <v>Analyze the situation and handle it with intellect</v>
      </c>
      <c r="R68" t="str">
        <v>No</v>
      </c>
      <c r="S68">
        <v>5</v>
      </c>
      <c r="T68">
        <v>4</v>
      </c>
    </row>
    <row r="69" spans="1:20">
      <c r="A69" s="8" t="s">
        <v>126</v>
      </c>
      <c r="B69" s="8" t="s">
        <v>48</v>
      </c>
      <c r="C69" s="8">
        <v>3</v>
      </c>
      <c r="D69" s="8">
        <v>5</v>
      </c>
      <c r="E69" s="8" t="s">
        <v>60</v>
      </c>
      <c r="F69" s="8" t="s">
        <v>61</v>
      </c>
      <c r="G69" s="8" t="s">
        <v>51</v>
      </c>
      <c r="H69" s="8">
        <v>4</v>
      </c>
      <c r="I69" s="8">
        <v>5</v>
      </c>
      <c r="L69" t="str">
        <v>24/07/2025 22:44:07</v>
      </c>
      <c r="M69" t="str">
        <v>undergraduate</v>
      </c>
      <c r="N69">
        <v>3</v>
      </c>
      <c r="O69">
        <v>3</v>
      </c>
      <c r="P69" t="str">
        <v>disrupted</v>
      </c>
      <c r="Q69" t="str">
        <v>Emotional breakdown (crying a lot)</v>
      </c>
      <c r="R69" t="str">
        <v>No</v>
      </c>
      <c r="S69">
        <v>4</v>
      </c>
      <c r="T69">
        <v>4</v>
      </c>
    </row>
    <row r="70" spans="1:20">
      <c r="A70" s="8" t="s">
        <v>127</v>
      </c>
      <c r="B70" s="8" t="s">
        <v>48</v>
      </c>
      <c r="C70" s="8">
        <v>4</v>
      </c>
      <c r="D70" s="8">
        <v>2</v>
      </c>
      <c r="E70" s="8" t="s">
        <v>60</v>
      </c>
      <c r="F70" s="8" t="s">
        <v>50</v>
      </c>
      <c r="G70" s="8" t="s">
        <v>51</v>
      </c>
      <c r="H70" s="8">
        <v>3</v>
      </c>
      <c r="I70" s="8">
        <v>4</v>
      </c>
      <c r="L70" t="str">
        <v>24/07/2025 22:44:50</v>
      </c>
      <c r="M70" t="str">
        <v>undergraduate</v>
      </c>
      <c r="N70">
        <v>3</v>
      </c>
      <c r="O70">
        <v>1</v>
      </c>
      <c r="P70" t="str">
        <v>Noisy</v>
      </c>
      <c r="Q70" t="str">
        <v>Analyze the situation and handle it with intellect</v>
      </c>
      <c r="R70" t="str">
        <v>No</v>
      </c>
      <c r="S70">
        <v>3</v>
      </c>
      <c r="T70">
        <v>3</v>
      </c>
    </row>
    <row r="71" spans="1:20">
      <c r="A71" s="8" t="s">
        <v>128</v>
      </c>
      <c r="B71" s="8" t="s">
        <v>48</v>
      </c>
      <c r="C71" s="8">
        <v>3</v>
      </c>
      <c r="D71" s="8">
        <v>3</v>
      </c>
      <c r="E71" s="8" t="s">
        <v>60</v>
      </c>
      <c r="F71" s="8" t="s">
        <v>50</v>
      </c>
      <c r="G71" s="8" t="s">
        <v>51</v>
      </c>
      <c r="H71" s="8">
        <v>1</v>
      </c>
      <c r="I71" s="8">
        <v>1</v>
      </c>
      <c r="L71" t="str">
        <v>24/07/2025 23:01:02</v>
      </c>
      <c r="M71" t="str">
        <v>undergraduate</v>
      </c>
      <c r="N71">
        <v>3</v>
      </c>
      <c r="O71">
        <v>2</v>
      </c>
      <c r="P71" t="str">
        <v>Peaceful</v>
      </c>
      <c r="Q71" t="str">
        <v>Analyze the situation and handle it with intellect</v>
      </c>
      <c r="R71" t="str">
        <v>No</v>
      </c>
      <c r="S71">
        <v>4</v>
      </c>
      <c r="T71">
        <v>4</v>
      </c>
    </row>
    <row r="72" spans="1:20">
      <c r="A72" s="8" t="s">
        <v>129</v>
      </c>
      <c r="B72" s="8" t="s">
        <v>48</v>
      </c>
      <c r="C72" s="8">
        <v>4</v>
      </c>
      <c r="D72" s="8">
        <v>3</v>
      </c>
      <c r="E72" s="8" t="s">
        <v>60</v>
      </c>
      <c r="F72" s="8" t="s">
        <v>50</v>
      </c>
      <c r="G72" s="8" t="s">
        <v>51</v>
      </c>
      <c r="H72" s="8">
        <v>3</v>
      </c>
      <c r="I72" s="8">
        <v>4</v>
      </c>
      <c r="L72" t="str">
        <v>24/07/2025 23:03:10</v>
      </c>
      <c r="M72" t="str">
        <v>undergraduate</v>
      </c>
      <c r="N72">
        <v>3</v>
      </c>
      <c r="O72">
        <v>1</v>
      </c>
      <c r="P72" t="str">
        <v>Noisy</v>
      </c>
      <c r="Q72" t="str">
        <v>Analyze the situation and handle it with intellect</v>
      </c>
      <c r="R72" t="str">
        <v>No</v>
      </c>
      <c r="S72">
        <v>4</v>
      </c>
      <c r="T72">
        <v>4</v>
      </c>
    </row>
    <row r="73" spans="1:20">
      <c r="A73" s="8" t="s">
        <v>130</v>
      </c>
      <c r="B73" s="8" t="s">
        <v>48</v>
      </c>
      <c r="C73" s="8">
        <v>3</v>
      </c>
      <c r="D73" s="8">
        <v>3</v>
      </c>
      <c r="E73" s="8" t="s">
        <v>60</v>
      </c>
      <c r="F73" s="8" t="s">
        <v>50</v>
      </c>
      <c r="G73" s="8" t="s">
        <v>51</v>
      </c>
      <c r="H73" s="8">
        <v>4</v>
      </c>
      <c r="I73" s="8">
        <v>4</v>
      </c>
      <c r="L73" t="str">
        <v>24/07/2025 23:04:01</v>
      </c>
      <c r="M73" t="str">
        <v>undergraduate</v>
      </c>
      <c r="N73">
        <v>2</v>
      </c>
      <c r="O73">
        <v>3</v>
      </c>
      <c r="P73" t="str">
        <v>disrupted</v>
      </c>
      <c r="Q73" t="str">
        <v>Analyze the situation and handle it with intellect</v>
      </c>
      <c r="R73" t="str">
        <v>No</v>
      </c>
      <c r="S73">
        <v>4</v>
      </c>
      <c r="T73">
        <v>3</v>
      </c>
    </row>
    <row r="74" spans="1:20">
      <c r="A74" s="8" t="s">
        <v>131</v>
      </c>
      <c r="B74" s="8" t="s">
        <v>48</v>
      </c>
      <c r="C74" s="8">
        <v>1</v>
      </c>
      <c r="D74" s="8">
        <v>1</v>
      </c>
      <c r="E74" s="8" t="s">
        <v>49</v>
      </c>
      <c r="F74" s="8" t="s">
        <v>50</v>
      </c>
      <c r="G74" s="8" t="s">
        <v>51</v>
      </c>
      <c r="H74" s="8">
        <v>4</v>
      </c>
      <c r="I74" s="8">
        <v>4</v>
      </c>
      <c r="L74" t="str">
        <v>24/07/2025 23:15:48</v>
      </c>
      <c r="M74" t="str">
        <v>undergraduate</v>
      </c>
      <c r="N74">
        <v>3</v>
      </c>
      <c r="O74">
        <v>1</v>
      </c>
      <c r="P74" t="str">
        <v>Noisy</v>
      </c>
      <c r="Q74" t="str">
        <v>Analyze the situation and handle it with intellect</v>
      </c>
      <c r="R74" t="str">
        <v>No</v>
      </c>
      <c r="S74">
        <v>3</v>
      </c>
      <c r="T74">
        <v>5</v>
      </c>
    </row>
    <row r="75" spans="1:20">
      <c r="A75" s="8" t="s">
        <v>132</v>
      </c>
      <c r="B75" s="8" t="s">
        <v>48</v>
      </c>
      <c r="C75" s="8">
        <v>3</v>
      </c>
      <c r="D75" s="8">
        <v>3</v>
      </c>
      <c r="E75" s="8" t="s">
        <v>60</v>
      </c>
      <c r="F75" s="8" t="s">
        <v>50</v>
      </c>
      <c r="G75" s="8" t="s">
        <v>51</v>
      </c>
      <c r="H75" s="8">
        <v>1</v>
      </c>
      <c r="I75" s="8">
        <v>1</v>
      </c>
      <c r="L75" t="str">
        <v>24/07/2025 23:22:17</v>
      </c>
      <c r="M75" t="str">
        <v>undergraduate</v>
      </c>
      <c r="N75">
        <v>2</v>
      </c>
      <c r="O75">
        <v>1</v>
      </c>
      <c r="P75" t="str">
        <v>Peaceful</v>
      </c>
      <c r="Q75" t="str">
        <v>Emotional breakdown (crying a lot)</v>
      </c>
      <c r="R75" t="str">
        <v>No</v>
      </c>
      <c r="S75">
        <v>5</v>
      </c>
      <c r="T75">
        <v>4</v>
      </c>
    </row>
    <row r="76" spans="1:20">
      <c r="A76" s="8" t="s">
        <v>133</v>
      </c>
      <c r="B76" s="8" t="s">
        <v>48</v>
      </c>
      <c r="C76" s="8">
        <v>5</v>
      </c>
      <c r="D76" s="8">
        <v>5</v>
      </c>
      <c r="E76" s="8" t="s">
        <v>49</v>
      </c>
      <c r="F76" s="8" t="s">
        <v>61</v>
      </c>
      <c r="G76" s="8" t="s">
        <v>51</v>
      </c>
      <c r="H76" s="8">
        <v>4</v>
      </c>
      <c r="I76" s="8">
        <v>4</v>
      </c>
      <c r="L76" t="str">
        <v>24/07/2025 23:31:01</v>
      </c>
      <c r="M76" t="str">
        <v>undergraduate</v>
      </c>
      <c r="N76">
        <v>2</v>
      </c>
      <c r="O76">
        <v>3</v>
      </c>
      <c r="P76" t="str">
        <v>Peaceful</v>
      </c>
      <c r="Q76" t="str">
        <v>Analyze the situation and handle it with intellect</v>
      </c>
      <c r="R76" t="str">
        <v>No</v>
      </c>
      <c r="S76">
        <v>3</v>
      </c>
      <c r="T76">
        <v>2</v>
      </c>
    </row>
    <row r="77" spans="1:20">
      <c r="A77" s="8" t="s">
        <v>134</v>
      </c>
      <c r="B77" s="8" t="s">
        <v>48</v>
      </c>
      <c r="C77" s="8">
        <v>3</v>
      </c>
      <c r="D77" s="8">
        <v>3</v>
      </c>
      <c r="E77" s="8" t="s">
        <v>53</v>
      </c>
      <c r="F77" s="8" t="s">
        <v>50</v>
      </c>
      <c r="G77" s="8" t="s">
        <v>51</v>
      </c>
      <c r="H77" s="8">
        <v>3</v>
      </c>
      <c r="I77" s="8">
        <v>5</v>
      </c>
      <c r="L77" t="str">
        <v>24/07/2025 23:32:26</v>
      </c>
      <c r="M77" t="str">
        <v>undergraduate</v>
      </c>
      <c r="N77">
        <v>4</v>
      </c>
      <c r="O77">
        <v>4</v>
      </c>
      <c r="P77" t="str">
        <v>disrupted</v>
      </c>
      <c r="Q77" t="str">
        <v>Emotional breakdown (crying a lot)</v>
      </c>
      <c r="R77" t="str">
        <v>No</v>
      </c>
      <c r="S77">
        <v>4</v>
      </c>
      <c r="T77">
        <v>4</v>
      </c>
    </row>
    <row r="78" spans="1:20">
      <c r="A78" s="8" t="s">
        <v>135</v>
      </c>
      <c r="B78" s="8" t="s">
        <v>48</v>
      </c>
      <c r="C78" s="8">
        <v>2</v>
      </c>
      <c r="D78" s="8">
        <v>3</v>
      </c>
      <c r="E78" s="8" t="s">
        <v>49</v>
      </c>
      <c r="F78" s="8" t="s">
        <v>55</v>
      </c>
      <c r="G78" s="8" t="s">
        <v>51</v>
      </c>
      <c r="H78" s="8">
        <v>3</v>
      </c>
      <c r="I78" s="8">
        <v>3</v>
      </c>
      <c r="L78" t="str">
        <v>24/07/2025 23:36:22</v>
      </c>
      <c r="M78" t="str">
        <v>undergraduate</v>
      </c>
      <c r="N78">
        <v>3</v>
      </c>
      <c r="O78">
        <v>3</v>
      </c>
      <c r="P78" t="str">
        <v>disrupted</v>
      </c>
      <c r="Q78" t="str">
        <v>Analyze the situation and handle it with intellect</v>
      </c>
      <c r="R78" t="str">
        <v>No</v>
      </c>
      <c r="S78">
        <v>4</v>
      </c>
      <c r="T78">
        <v>4</v>
      </c>
    </row>
    <row r="79" spans="1:20">
      <c r="A79" s="8" t="s">
        <v>136</v>
      </c>
      <c r="B79" s="8" t="s">
        <v>48</v>
      </c>
      <c r="C79" s="8">
        <v>3</v>
      </c>
      <c r="D79" s="8">
        <v>4</v>
      </c>
      <c r="E79" s="8" t="s">
        <v>53</v>
      </c>
      <c r="F79" s="8" t="s">
        <v>50</v>
      </c>
      <c r="G79" s="8" t="s">
        <v>51</v>
      </c>
      <c r="H79" s="8">
        <v>2</v>
      </c>
      <c r="I79" s="8">
        <v>3</v>
      </c>
      <c r="L79" t="str">
        <v>24/07/2025 23:44:35</v>
      </c>
      <c r="M79" t="str">
        <v>undergraduate</v>
      </c>
      <c r="N79">
        <v>3</v>
      </c>
      <c r="O79">
        <v>2</v>
      </c>
      <c r="P79" t="str">
        <v>Peaceful</v>
      </c>
      <c r="Q79" t="str">
        <v>Emotional breakdown (crying a lot)</v>
      </c>
      <c r="R79" t="str">
        <v>No</v>
      </c>
      <c r="S79">
        <v>3</v>
      </c>
      <c r="T79">
        <v>3</v>
      </c>
    </row>
    <row r="80" spans="1:20">
      <c r="A80" s="8" t="s">
        <v>137</v>
      </c>
      <c r="B80" s="8" t="s">
        <v>100</v>
      </c>
      <c r="C80" s="8">
        <v>3</v>
      </c>
      <c r="D80" s="8">
        <v>2</v>
      </c>
      <c r="E80" s="8" t="s">
        <v>53</v>
      </c>
      <c r="F80" s="8" t="s">
        <v>50</v>
      </c>
      <c r="G80" s="8" t="s">
        <v>51</v>
      </c>
      <c r="H80" s="8">
        <v>3</v>
      </c>
      <c r="I80" s="8">
        <v>3</v>
      </c>
      <c r="L80" t="str">
        <v>25/07/2025 00:10:10</v>
      </c>
      <c r="M80" t="str">
        <v>undergraduate</v>
      </c>
      <c r="N80">
        <v>4</v>
      </c>
      <c r="O80">
        <v>5</v>
      </c>
      <c r="P80" t="str">
        <v>disrupted</v>
      </c>
      <c r="Q80" t="str">
        <v>Emotional breakdown (crying a lot)</v>
      </c>
      <c r="R80" t="str">
        <v>No</v>
      </c>
      <c r="S80">
        <v>2</v>
      </c>
      <c r="T80">
        <v>2</v>
      </c>
    </row>
    <row r="81" spans="1:20">
      <c r="A81" s="8" t="s">
        <v>138</v>
      </c>
      <c r="B81" s="8" t="s">
        <v>48</v>
      </c>
      <c r="C81" s="8">
        <v>3</v>
      </c>
      <c r="D81" s="8">
        <v>3</v>
      </c>
      <c r="E81" s="8" t="s">
        <v>53</v>
      </c>
      <c r="F81" s="8" t="s">
        <v>50</v>
      </c>
      <c r="G81" s="8" t="s">
        <v>51</v>
      </c>
      <c r="H81" s="8">
        <v>5</v>
      </c>
      <c r="I81" s="8">
        <v>4</v>
      </c>
      <c r="L81" t="str">
        <v>25/07/2025 00:13:46</v>
      </c>
      <c r="M81" t="str">
        <v>undergraduate</v>
      </c>
      <c r="N81">
        <v>4</v>
      </c>
      <c r="O81">
        <v>3</v>
      </c>
      <c r="P81" t="str">
        <v>Peaceful</v>
      </c>
      <c r="Q81" t="str">
        <v>Analyze the situation and handle it with intellect</v>
      </c>
      <c r="R81" t="str">
        <v>No</v>
      </c>
      <c r="S81">
        <v>2</v>
      </c>
      <c r="T81">
        <v>5</v>
      </c>
    </row>
    <row r="82" spans="1:20">
      <c r="A82" s="8" t="s">
        <v>139</v>
      </c>
      <c r="B82" s="8" t="s">
        <v>48</v>
      </c>
      <c r="C82" s="8">
        <v>2</v>
      </c>
      <c r="D82" s="8">
        <v>2</v>
      </c>
      <c r="E82" s="8" t="s">
        <v>53</v>
      </c>
      <c r="F82" s="8" t="s">
        <v>50</v>
      </c>
      <c r="G82" s="8" t="s">
        <v>51</v>
      </c>
      <c r="H82" s="8">
        <v>3</v>
      </c>
      <c r="I82" s="8">
        <v>5</v>
      </c>
      <c r="L82" t="str">
        <v>25/07/2025 00:21:30</v>
      </c>
      <c r="M82" t="str">
        <v>undergraduate</v>
      </c>
      <c r="N82">
        <v>3</v>
      </c>
      <c r="O82">
        <v>5</v>
      </c>
      <c r="P82" t="str">
        <v>disrupted</v>
      </c>
      <c r="Q82" t="str">
        <v>Emotional breakdown (crying a lot)</v>
      </c>
      <c r="R82" t="str">
        <v>No</v>
      </c>
      <c r="S82">
        <v>4</v>
      </c>
      <c r="T82">
        <v>5</v>
      </c>
    </row>
    <row r="83" spans="1:20">
      <c r="A83" s="8" t="s">
        <v>140</v>
      </c>
      <c r="B83" s="8" t="s">
        <v>48</v>
      </c>
      <c r="C83" s="8">
        <v>5</v>
      </c>
      <c r="D83" s="8">
        <v>3</v>
      </c>
      <c r="E83" s="8" t="s">
        <v>53</v>
      </c>
      <c r="F83" s="8" t="s">
        <v>61</v>
      </c>
      <c r="G83" s="8" t="s">
        <v>51</v>
      </c>
      <c r="H83" s="8">
        <v>1</v>
      </c>
      <c r="I83" s="8">
        <v>1</v>
      </c>
      <c r="L83" t="str">
        <v>25/07/2025 00:21:38</v>
      </c>
      <c r="M83" t="str">
        <v>undergraduate</v>
      </c>
      <c r="N83">
        <v>4</v>
      </c>
      <c r="O83">
        <v>2</v>
      </c>
      <c r="P83" t="str">
        <v>disrupted</v>
      </c>
      <c r="Q83" t="str">
        <v>Analyze the situation and handle it with intellect</v>
      </c>
      <c r="R83" t="str">
        <v>No</v>
      </c>
      <c r="S83">
        <v>3</v>
      </c>
      <c r="T83">
        <v>4</v>
      </c>
    </row>
    <row r="84" spans="1:20">
      <c r="A84" s="8" t="s">
        <v>141</v>
      </c>
      <c r="B84" s="8" t="s">
        <v>48</v>
      </c>
      <c r="C84" s="8">
        <v>3</v>
      </c>
      <c r="D84" s="8">
        <v>2</v>
      </c>
      <c r="E84" s="8" t="s">
        <v>53</v>
      </c>
      <c r="F84" s="8" t="s">
        <v>50</v>
      </c>
      <c r="G84" s="8" t="s">
        <v>83</v>
      </c>
      <c r="H84" s="8">
        <v>4</v>
      </c>
      <c r="I84" s="8">
        <v>5</v>
      </c>
      <c r="L84" t="str">
        <v>25/07/2025 08:13:01</v>
      </c>
      <c r="M84" t="str">
        <v>undergraduate</v>
      </c>
      <c r="N84">
        <v>3</v>
      </c>
      <c r="O84">
        <v>3</v>
      </c>
      <c r="P84" t="str">
        <v>disrupted</v>
      </c>
      <c r="Q84" t="str">
        <v>Analyze the situation and handle it with intellect</v>
      </c>
      <c r="R84" t="str">
        <v>No</v>
      </c>
      <c r="S84">
        <v>1</v>
      </c>
      <c r="T84">
        <v>1</v>
      </c>
    </row>
    <row r="85" spans="1:20">
      <c r="A85" s="8" t="s">
        <v>142</v>
      </c>
      <c r="B85" s="8" t="s">
        <v>100</v>
      </c>
      <c r="C85" s="8">
        <v>1</v>
      </c>
      <c r="D85" s="8">
        <v>5</v>
      </c>
      <c r="E85" s="8" t="s">
        <v>53</v>
      </c>
      <c r="F85" s="8" t="s">
        <v>50</v>
      </c>
      <c r="G85" s="8" t="s">
        <v>51</v>
      </c>
      <c r="H85" s="8">
        <v>3</v>
      </c>
      <c r="I85" s="8">
        <v>4</v>
      </c>
      <c r="L85" t="str">
        <v>25/07/2025 08:42:22</v>
      </c>
      <c r="M85" t="str">
        <v>undergraduate</v>
      </c>
      <c r="N85">
        <v>4</v>
      </c>
      <c r="O85">
        <v>3</v>
      </c>
      <c r="P85" t="str">
        <v>disrupted</v>
      </c>
      <c r="Q85" t="str">
        <v>Analyze the situation and handle it with intellect</v>
      </c>
      <c r="R85" t="str">
        <v>No</v>
      </c>
      <c r="S85">
        <v>3</v>
      </c>
      <c r="T85">
        <v>4</v>
      </c>
    </row>
    <row r="86" spans="1:20">
      <c r="A86" s="8" t="s">
        <v>143</v>
      </c>
      <c r="B86" s="8" t="s">
        <v>48</v>
      </c>
      <c r="C86" s="8">
        <v>2</v>
      </c>
      <c r="D86" s="8">
        <v>2</v>
      </c>
      <c r="E86" s="8" t="s">
        <v>60</v>
      </c>
      <c r="F86" s="8" t="s">
        <v>55</v>
      </c>
      <c r="G86" s="8" t="s">
        <v>51</v>
      </c>
      <c r="H86" s="8">
        <v>5</v>
      </c>
      <c r="I86" s="8">
        <v>3</v>
      </c>
      <c r="L86" t="str">
        <v>25/07/2025 10:30:12</v>
      </c>
      <c r="M86" t="str">
        <v>undergraduate</v>
      </c>
      <c r="N86">
        <v>3</v>
      </c>
      <c r="O86">
        <v>3</v>
      </c>
      <c r="P86" t="str">
        <v>disrupted</v>
      </c>
      <c r="Q86" t="str">
        <v>Analyze the situation and handle it with intellect</v>
      </c>
      <c r="R86" t="str">
        <v>No</v>
      </c>
      <c r="S86">
        <v>4</v>
      </c>
      <c r="T86">
        <v>4</v>
      </c>
    </row>
    <row r="87" spans="1:20">
      <c r="A87" s="8" t="s">
        <v>144</v>
      </c>
      <c r="B87" s="8" t="s">
        <v>100</v>
      </c>
      <c r="C87" s="8">
        <v>4</v>
      </c>
      <c r="D87" s="8">
        <v>4</v>
      </c>
      <c r="E87" s="8" t="s">
        <v>49</v>
      </c>
      <c r="F87" s="8" t="s">
        <v>50</v>
      </c>
      <c r="G87" s="8" t="s">
        <v>51</v>
      </c>
      <c r="H87" s="8">
        <v>5</v>
      </c>
      <c r="I87" s="8">
        <v>4</v>
      </c>
      <c r="L87" t="str">
        <v>25/07/2025 10:37:39</v>
      </c>
      <c r="M87" t="str">
        <v>undergraduate</v>
      </c>
      <c r="N87">
        <v>1</v>
      </c>
      <c r="O87">
        <v>1</v>
      </c>
      <c r="P87" t="str">
        <v>Noisy</v>
      </c>
      <c r="Q87" t="str">
        <v>Analyze the situation and handle it with intellect</v>
      </c>
      <c r="R87" t="str">
        <v>No</v>
      </c>
      <c r="S87">
        <v>4</v>
      </c>
      <c r="T87">
        <v>4</v>
      </c>
    </row>
    <row r="88" spans="1:20">
      <c r="A88" s="8" t="s">
        <v>145</v>
      </c>
      <c r="B88" s="8" t="s">
        <v>48</v>
      </c>
      <c r="C88" s="8">
        <v>2</v>
      </c>
      <c r="D88" s="8">
        <v>3</v>
      </c>
      <c r="E88" s="8" t="s">
        <v>53</v>
      </c>
      <c r="F88" s="8" t="s">
        <v>55</v>
      </c>
      <c r="G88" s="8" t="s">
        <v>51</v>
      </c>
      <c r="H88" s="8">
        <v>4</v>
      </c>
      <c r="I88" s="8">
        <v>3</v>
      </c>
      <c r="L88" t="str">
        <v>25/07/2025 10:43:24</v>
      </c>
      <c r="M88" t="str">
        <v>undergraduate</v>
      </c>
      <c r="N88">
        <v>3</v>
      </c>
      <c r="O88">
        <v>3</v>
      </c>
      <c r="P88" t="str">
        <v>disrupted</v>
      </c>
      <c r="Q88" t="str">
        <v>Analyze the situation and handle it with intellect</v>
      </c>
      <c r="R88" t="str">
        <v>No</v>
      </c>
      <c r="S88">
        <v>1</v>
      </c>
      <c r="T88">
        <v>1</v>
      </c>
    </row>
    <row r="89" spans="1:20">
      <c r="A89" s="8" t="s">
        <v>146</v>
      </c>
      <c r="B89" s="8" t="s">
        <v>48</v>
      </c>
      <c r="C89" s="8">
        <v>2</v>
      </c>
      <c r="D89" s="8">
        <v>3</v>
      </c>
      <c r="E89" s="8" t="s">
        <v>53</v>
      </c>
      <c r="F89" s="8" t="s">
        <v>50</v>
      </c>
      <c r="G89" s="8" t="s">
        <v>51</v>
      </c>
      <c r="H89" s="8">
        <v>3</v>
      </c>
      <c r="I89" s="8">
        <v>3</v>
      </c>
      <c r="L89" t="str">
        <v>25/07/2025 11:00:10</v>
      </c>
      <c r="M89" t="str">
        <v>undergraduate</v>
      </c>
      <c r="N89">
        <v>5</v>
      </c>
      <c r="O89">
        <v>5</v>
      </c>
      <c r="P89" t="str">
        <v>Noisy</v>
      </c>
      <c r="Q89" t="str">
        <v>Emotional breakdown (crying a lot)</v>
      </c>
      <c r="R89" t="str">
        <v>No</v>
      </c>
      <c r="S89">
        <v>4</v>
      </c>
      <c r="T89">
        <v>4</v>
      </c>
    </row>
    <row r="90" spans="1:20">
      <c r="A90" s="8" t="s">
        <v>147</v>
      </c>
      <c r="B90" s="8" t="s">
        <v>48</v>
      </c>
      <c r="C90" s="8">
        <v>2</v>
      </c>
      <c r="D90" s="8">
        <v>5</v>
      </c>
      <c r="E90" s="8" t="s">
        <v>53</v>
      </c>
      <c r="F90" s="8" t="s">
        <v>55</v>
      </c>
      <c r="G90" s="8" t="s">
        <v>51</v>
      </c>
      <c r="H90" s="8">
        <v>3</v>
      </c>
      <c r="I90" s="8">
        <v>3</v>
      </c>
      <c r="L90" t="str">
        <v>25/07/2025 11:06:32</v>
      </c>
      <c r="M90" t="str">
        <v>undergraduate</v>
      </c>
      <c r="N90">
        <v>3</v>
      </c>
      <c r="O90">
        <v>3</v>
      </c>
      <c r="P90" t="str">
        <v>Peaceful</v>
      </c>
      <c r="Q90" t="str">
        <v>Analyze the situation and handle it with intellect</v>
      </c>
      <c r="R90" t="str">
        <v>No</v>
      </c>
      <c r="S90">
        <v>3</v>
      </c>
      <c r="T90">
        <v>5</v>
      </c>
    </row>
    <row r="91" spans="1:20">
      <c r="A91" s="8" t="s">
        <v>148</v>
      </c>
      <c r="B91" s="8" t="s">
        <v>100</v>
      </c>
      <c r="C91" s="8">
        <v>2</v>
      </c>
      <c r="D91" s="8">
        <v>2</v>
      </c>
      <c r="E91" s="8" t="s">
        <v>49</v>
      </c>
      <c r="F91" s="8" t="s">
        <v>50</v>
      </c>
      <c r="G91" s="8" t="s">
        <v>51</v>
      </c>
      <c r="H91" s="8">
        <v>4</v>
      </c>
      <c r="I91" s="8">
        <v>5</v>
      </c>
      <c r="L91" t="str">
        <v>25/07/2025 11:06:40</v>
      </c>
      <c r="M91" t="str">
        <v>undergraduate</v>
      </c>
      <c r="N91">
        <v>2</v>
      </c>
      <c r="O91">
        <v>3</v>
      </c>
      <c r="P91" t="str">
        <v>Noisy</v>
      </c>
      <c r="Q91" t="str">
        <v>Social support (friends, family)</v>
      </c>
      <c r="R91" t="str">
        <v>No</v>
      </c>
      <c r="S91">
        <v>3</v>
      </c>
      <c r="T91">
        <v>3</v>
      </c>
    </row>
    <row r="92" spans="1:20">
      <c r="A92" s="8" t="s">
        <v>149</v>
      </c>
      <c r="B92" s="8" t="s">
        <v>48</v>
      </c>
      <c r="C92" s="8">
        <v>3</v>
      </c>
      <c r="D92" s="8">
        <v>3</v>
      </c>
      <c r="E92" s="8" t="s">
        <v>53</v>
      </c>
      <c r="F92" s="8" t="s">
        <v>50</v>
      </c>
      <c r="G92" s="8" t="s">
        <v>51</v>
      </c>
      <c r="H92" s="8">
        <v>4</v>
      </c>
      <c r="I92" s="8">
        <v>4</v>
      </c>
      <c r="L92" t="str">
        <v>25/07/2025 11:47:24</v>
      </c>
      <c r="M92" t="str">
        <v>undergraduate</v>
      </c>
      <c r="N92">
        <v>3</v>
      </c>
      <c r="O92">
        <v>4</v>
      </c>
      <c r="P92" t="str">
        <v>Peaceful</v>
      </c>
      <c r="Q92" t="str">
        <v>Analyze the situation and handle it with intellect</v>
      </c>
      <c r="R92" t="str">
        <v>No</v>
      </c>
      <c r="S92">
        <v>2</v>
      </c>
      <c r="T92">
        <v>3</v>
      </c>
    </row>
    <row r="93" spans="1:20">
      <c r="A93" s="8" t="s">
        <v>150</v>
      </c>
      <c r="B93" s="8" t="s">
        <v>48</v>
      </c>
      <c r="C93" s="8">
        <v>2</v>
      </c>
      <c r="D93" s="8">
        <v>2</v>
      </c>
      <c r="E93" s="8" t="s">
        <v>53</v>
      </c>
      <c r="F93" s="8" t="s">
        <v>50</v>
      </c>
      <c r="G93" s="8" t="s">
        <v>51</v>
      </c>
      <c r="H93" s="8">
        <v>4</v>
      </c>
      <c r="I93" s="8">
        <v>3</v>
      </c>
      <c r="L93" t="str">
        <v>25/07/2025 13:18:47</v>
      </c>
      <c r="M93" t="str">
        <v>undergraduate</v>
      </c>
      <c r="N93">
        <v>3</v>
      </c>
      <c r="O93">
        <v>3</v>
      </c>
      <c r="P93" t="str">
        <v>Peaceful</v>
      </c>
      <c r="Q93" t="str">
        <v>Analyze the situation and handle it with intellect</v>
      </c>
      <c r="R93" t="str">
        <v>No</v>
      </c>
      <c r="S93">
        <v>5</v>
      </c>
      <c r="T93">
        <v>4</v>
      </c>
    </row>
    <row r="94" spans="1:20">
      <c r="A94" s="8" t="s">
        <v>151</v>
      </c>
      <c r="B94" s="8" t="s">
        <v>85</v>
      </c>
      <c r="C94" s="8">
        <v>4</v>
      </c>
      <c r="D94" s="8">
        <v>5</v>
      </c>
      <c r="E94" s="8" t="s">
        <v>53</v>
      </c>
      <c r="F94" s="8" t="s">
        <v>50</v>
      </c>
      <c r="G94" s="8" t="s">
        <v>51</v>
      </c>
      <c r="H94" s="8">
        <v>4</v>
      </c>
      <c r="I94" s="8">
        <v>5</v>
      </c>
      <c r="L94" t="str">
        <v>25/07/2025 13:38:10</v>
      </c>
      <c r="M94" t="str">
        <v>undergraduate</v>
      </c>
      <c r="N94">
        <v>2</v>
      </c>
      <c r="O94">
        <v>2</v>
      </c>
      <c r="P94" t="str">
        <v>Peaceful</v>
      </c>
      <c r="Q94" t="str">
        <v>Analyze the situation and handle it with intellect</v>
      </c>
      <c r="R94" t="str">
        <v>No</v>
      </c>
      <c r="S94">
        <v>3</v>
      </c>
      <c r="T94">
        <v>5</v>
      </c>
    </row>
    <row r="95" spans="1:20">
      <c r="A95" s="8" t="s">
        <v>152</v>
      </c>
      <c r="B95" s="8" t="s">
        <v>85</v>
      </c>
      <c r="C95" s="8">
        <v>3</v>
      </c>
      <c r="D95" s="8">
        <v>3</v>
      </c>
      <c r="E95" s="8" t="s">
        <v>53</v>
      </c>
      <c r="F95" s="8" t="s">
        <v>50</v>
      </c>
      <c r="G95" s="8" t="s">
        <v>51</v>
      </c>
      <c r="H95" s="8">
        <v>4</v>
      </c>
      <c r="I95" s="8">
        <v>5</v>
      </c>
      <c r="L95" t="str">
        <v>25/07/2025 16:00:32</v>
      </c>
      <c r="M95" t="str">
        <v>undergraduate</v>
      </c>
      <c r="N95">
        <v>5</v>
      </c>
      <c r="O95">
        <v>3</v>
      </c>
      <c r="P95" t="str">
        <v>Peaceful</v>
      </c>
      <c r="Q95" t="str">
        <v>Emotional breakdown (crying a lot)</v>
      </c>
      <c r="R95" t="str">
        <v>No</v>
      </c>
      <c r="S95">
        <v>1</v>
      </c>
      <c r="T95">
        <v>1</v>
      </c>
    </row>
    <row r="96" spans="1:20">
      <c r="A96" s="8" t="s">
        <v>153</v>
      </c>
      <c r="B96" s="8" t="s">
        <v>85</v>
      </c>
      <c r="C96" s="8">
        <v>4</v>
      </c>
      <c r="D96" s="8">
        <v>5</v>
      </c>
      <c r="E96" s="8" t="s">
        <v>49</v>
      </c>
      <c r="F96" s="8" t="s">
        <v>61</v>
      </c>
      <c r="G96" s="8" t="s">
        <v>51</v>
      </c>
      <c r="H96" s="8">
        <v>4</v>
      </c>
      <c r="I96" s="8">
        <v>4</v>
      </c>
      <c r="L96" t="str">
        <v>25/07/2025 16:04:38</v>
      </c>
      <c r="M96" t="str">
        <v>undergraduate</v>
      </c>
      <c r="N96">
        <v>3</v>
      </c>
      <c r="O96">
        <v>2</v>
      </c>
      <c r="P96" t="str">
        <v>Peaceful</v>
      </c>
      <c r="Q96" t="str">
        <v>Analyze the situation and handle it with intellect</v>
      </c>
      <c r="R96" t="str">
        <v>Yes</v>
      </c>
      <c r="S96">
        <v>4</v>
      </c>
      <c r="T96">
        <v>5</v>
      </c>
    </row>
    <row r="97" spans="1:20">
      <c r="A97" s="8" t="s">
        <v>154</v>
      </c>
      <c r="B97" s="8" t="s">
        <v>85</v>
      </c>
      <c r="C97" s="8">
        <v>3</v>
      </c>
      <c r="D97" s="8">
        <v>3</v>
      </c>
      <c r="E97" s="8" t="s">
        <v>53</v>
      </c>
      <c r="F97" s="8" t="s">
        <v>50</v>
      </c>
      <c r="G97" s="8" t="s">
        <v>51</v>
      </c>
      <c r="H97" s="8">
        <v>5</v>
      </c>
      <c r="I97" s="8">
        <v>5</v>
      </c>
      <c r="L97" t="str">
        <v>25/07/2025 17:08:00</v>
      </c>
      <c r="M97" t="str">
        <v>undergraduate</v>
      </c>
      <c r="N97">
        <v>2</v>
      </c>
      <c r="O97">
        <v>2</v>
      </c>
      <c r="P97" t="str">
        <v>disrupted</v>
      </c>
      <c r="Q97" t="str">
        <v>Social support (friends, family)</v>
      </c>
      <c r="R97" t="str">
        <v>No</v>
      </c>
      <c r="S97">
        <v>5</v>
      </c>
      <c r="T97">
        <v>3</v>
      </c>
    </row>
    <row r="98" spans="1:20">
      <c r="A98" s="8" t="s">
        <v>155</v>
      </c>
      <c r="B98" s="8" t="s">
        <v>85</v>
      </c>
      <c r="C98" s="8">
        <v>2</v>
      </c>
      <c r="D98" s="8">
        <v>3</v>
      </c>
      <c r="E98" s="8" t="s">
        <v>49</v>
      </c>
      <c r="F98" s="8" t="s">
        <v>61</v>
      </c>
      <c r="G98" s="8" t="s">
        <v>51</v>
      </c>
      <c r="H98" s="8">
        <v>3</v>
      </c>
      <c r="I98" s="8">
        <v>4</v>
      </c>
      <c r="L98" t="str">
        <v>25/07/2025 18:18:38</v>
      </c>
      <c r="M98" t="str">
        <v>undergraduate</v>
      </c>
      <c r="N98">
        <v>2</v>
      </c>
      <c r="O98">
        <v>3</v>
      </c>
      <c r="P98" t="str">
        <v>Peaceful</v>
      </c>
      <c r="Q98" t="str">
        <v>Social support (friends, family)</v>
      </c>
      <c r="R98" t="str">
        <v>No</v>
      </c>
      <c r="S98">
        <v>4</v>
      </c>
      <c r="T98">
        <v>3</v>
      </c>
    </row>
    <row r="99" spans="1:20">
      <c r="A99" s="8" t="s">
        <v>156</v>
      </c>
      <c r="B99" s="8" t="s">
        <v>85</v>
      </c>
      <c r="C99" s="8">
        <v>1</v>
      </c>
      <c r="D99" s="8">
        <v>2</v>
      </c>
      <c r="E99" s="8" t="s">
        <v>53</v>
      </c>
      <c r="F99" s="8" t="s">
        <v>50</v>
      </c>
      <c r="G99" s="8" t="s">
        <v>51</v>
      </c>
      <c r="H99" s="8">
        <v>3</v>
      </c>
      <c r="I99" s="8">
        <v>4</v>
      </c>
      <c r="L99" t="str">
        <v>25/07/2025 18:27:24</v>
      </c>
      <c r="M99" t="str">
        <v>undergraduate</v>
      </c>
      <c r="N99">
        <v>2</v>
      </c>
      <c r="O99">
        <v>3</v>
      </c>
      <c r="P99" t="str">
        <v>Peaceful</v>
      </c>
      <c r="Q99" t="str">
        <v>Analyze the situation and handle it with intellect</v>
      </c>
      <c r="R99" t="str">
        <v>No</v>
      </c>
      <c r="S99">
        <v>3</v>
      </c>
      <c r="T99">
        <v>3</v>
      </c>
    </row>
    <row r="100" spans="1:20">
      <c r="A100" s="8" t="s">
        <v>157</v>
      </c>
      <c r="B100" s="8" t="s">
        <v>85</v>
      </c>
      <c r="C100" s="8">
        <v>4</v>
      </c>
      <c r="D100" s="8">
        <v>4</v>
      </c>
      <c r="E100" s="8" t="s">
        <v>60</v>
      </c>
      <c r="F100" s="8" t="s">
        <v>61</v>
      </c>
      <c r="G100" s="8" t="s">
        <v>51</v>
      </c>
      <c r="H100" s="8">
        <v>5</v>
      </c>
      <c r="I100" s="8">
        <v>3</v>
      </c>
      <c r="L100" t="str">
        <v>25/07/2025 19:34:59</v>
      </c>
      <c r="M100" t="str">
        <v>undergraduate</v>
      </c>
      <c r="N100">
        <v>2</v>
      </c>
      <c r="O100">
        <v>5</v>
      </c>
      <c r="P100" t="str">
        <v>Peaceful</v>
      </c>
      <c r="Q100" t="str">
        <v>Social support (friends, family)</v>
      </c>
      <c r="R100" t="str">
        <v>No</v>
      </c>
      <c r="S100">
        <v>3</v>
      </c>
      <c r="T100">
        <v>3</v>
      </c>
    </row>
    <row r="101" spans="1:20">
      <c r="A101" s="8" t="s">
        <v>158</v>
      </c>
      <c r="B101" s="8" t="s">
        <v>85</v>
      </c>
      <c r="C101" s="8">
        <v>4</v>
      </c>
      <c r="D101" s="8">
        <v>3</v>
      </c>
      <c r="E101" s="8" t="s">
        <v>53</v>
      </c>
      <c r="F101" s="8" t="s">
        <v>50</v>
      </c>
      <c r="G101" s="8" t="s">
        <v>51</v>
      </c>
      <c r="H101" s="8">
        <v>2</v>
      </c>
      <c r="I101" s="8">
        <v>5</v>
      </c>
      <c r="L101" t="str">
        <v>25/07/2025 23:34:18</v>
      </c>
      <c r="M101" t="str">
        <v>undergraduate</v>
      </c>
      <c r="N101">
        <v>3</v>
      </c>
      <c r="O101">
        <v>3</v>
      </c>
      <c r="P101" t="str">
        <v>Peaceful</v>
      </c>
      <c r="Q101" t="str">
        <v>Analyze the situation and handle it with intellect</v>
      </c>
      <c r="R101" t="str">
        <v>No</v>
      </c>
      <c r="S101">
        <v>4</v>
      </c>
      <c r="T101">
        <v>4</v>
      </c>
    </row>
    <row r="102" spans="1:20">
      <c r="A102" s="8" t="s">
        <v>159</v>
      </c>
      <c r="B102" s="8" t="s">
        <v>85</v>
      </c>
      <c r="C102" s="8">
        <v>4</v>
      </c>
      <c r="D102" s="8">
        <v>5</v>
      </c>
      <c r="E102" s="8" t="s">
        <v>49</v>
      </c>
      <c r="F102" s="8" t="s">
        <v>61</v>
      </c>
      <c r="G102" s="8" t="s">
        <v>51</v>
      </c>
      <c r="H102" s="8">
        <v>4</v>
      </c>
      <c r="I102" s="8">
        <v>4</v>
      </c>
      <c r="L102" t="str">
        <v>25/07/2025 23:39:15</v>
      </c>
      <c r="M102" t="str">
        <v>undergraduate</v>
      </c>
      <c r="N102">
        <v>2</v>
      </c>
      <c r="O102">
        <v>2</v>
      </c>
      <c r="P102" t="str">
        <v>Peaceful</v>
      </c>
      <c r="Q102" t="str">
        <v>Analyze the situation and handle it with intellect</v>
      </c>
      <c r="R102" t="str">
        <v>No</v>
      </c>
      <c r="S102">
        <v>4</v>
      </c>
      <c r="T102">
        <v>3</v>
      </c>
    </row>
    <row r="103" spans="1:20">
      <c r="A103" s="8" t="s">
        <v>160</v>
      </c>
      <c r="B103" s="8" t="s">
        <v>85</v>
      </c>
      <c r="C103" s="8">
        <v>1</v>
      </c>
      <c r="D103" s="8">
        <v>5</v>
      </c>
      <c r="E103" s="8" t="s">
        <v>49</v>
      </c>
      <c r="F103" s="8" t="s">
        <v>50</v>
      </c>
      <c r="G103" s="8" t="s">
        <v>51</v>
      </c>
      <c r="H103" s="8">
        <v>3</v>
      </c>
      <c r="I103" s="8">
        <v>4</v>
      </c>
      <c r="L103" t="str">
        <v>26/07/2025 13:39:21</v>
      </c>
      <c r="M103" t="str">
        <v>undergraduate</v>
      </c>
      <c r="N103">
        <v>1</v>
      </c>
      <c r="O103">
        <v>1</v>
      </c>
      <c r="P103" t="str">
        <v>Noisy</v>
      </c>
      <c r="Q103" t="str">
        <v>Analyze the situation and handle it with intellect</v>
      </c>
      <c r="R103" t="str">
        <v>No</v>
      </c>
      <c r="S103">
        <v>4</v>
      </c>
      <c r="T103">
        <v>3</v>
      </c>
    </row>
    <row r="104" spans="1:20">
      <c r="A104" s="8" t="s">
        <v>161</v>
      </c>
      <c r="B104" s="8" t="s">
        <v>85</v>
      </c>
      <c r="C104" s="8">
        <v>5</v>
      </c>
      <c r="D104" s="8">
        <v>5</v>
      </c>
      <c r="E104" s="8" t="s">
        <v>53</v>
      </c>
      <c r="F104" s="8" t="s">
        <v>61</v>
      </c>
      <c r="G104" s="8" t="s">
        <v>51</v>
      </c>
      <c r="H104" s="8">
        <v>5</v>
      </c>
      <c r="I104" s="8">
        <v>5</v>
      </c>
      <c r="L104" t="str">
        <v>27/07/2025 13:45:00</v>
      </c>
      <c r="M104" t="str">
        <v>undergraduate</v>
      </c>
      <c r="N104">
        <v>2</v>
      </c>
      <c r="O104">
        <v>3</v>
      </c>
      <c r="P104" t="str">
        <v>Noisy</v>
      </c>
      <c r="Q104" t="str">
        <v>Analyze the situation and handle it with intellect</v>
      </c>
      <c r="R104" t="str">
        <v>No</v>
      </c>
      <c r="S104">
        <v>4</v>
      </c>
      <c r="T104">
        <v>4</v>
      </c>
    </row>
    <row r="105" spans="1:20">
      <c r="A105" s="8" t="s">
        <v>162</v>
      </c>
      <c r="B105" s="8" t="s">
        <v>85</v>
      </c>
      <c r="C105" s="8">
        <v>1</v>
      </c>
      <c r="D105" s="8">
        <v>3</v>
      </c>
      <c r="E105" s="8" t="s">
        <v>53</v>
      </c>
      <c r="F105" s="8" t="s">
        <v>55</v>
      </c>
      <c r="G105" s="8" t="s">
        <v>51</v>
      </c>
      <c r="H105" s="8">
        <v>3</v>
      </c>
      <c r="I105" s="8">
        <v>5</v>
      </c>
      <c r="L105" t="str">
        <v>30/07/2025 16:02:16</v>
      </c>
      <c r="M105" t="str">
        <v>undergraduate</v>
      </c>
      <c r="N105">
        <v>4</v>
      </c>
      <c r="O105">
        <v>4</v>
      </c>
      <c r="P105" t="str">
        <v>disrupted</v>
      </c>
      <c r="Q105" t="str">
        <v>Analyze the situation and handle it with intellect</v>
      </c>
      <c r="R105" t="str">
        <v>No</v>
      </c>
      <c r="S105">
        <v>3</v>
      </c>
      <c r="T105">
        <v>5</v>
      </c>
    </row>
    <row r="106" spans="1:20">
      <c r="A106" s="8" t="s">
        <v>163</v>
      </c>
      <c r="B106" s="8" t="s">
        <v>85</v>
      </c>
      <c r="C106" s="8">
        <v>5</v>
      </c>
      <c r="D106" s="8">
        <v>3</v>
      </c>
      <c r="E106" s="8" t="s">
        <v>49</v>
      </c>
      <c r="F106" s="8" t="s">
        <v>61</v>
      </c>
      <c r="G106" s="8" t="s">
        <v>51</v>
      </c>
      <c r="H106" s="8">
        <v>3</v>
      </c>
      <c r="I106" s="8">
        <v>1</v>
      </c>
      <c r="L106" t="str">
        <v>11/8/25 18:07</v>
      </c>
      <c r="M106" t="str">
        <v>undergraduate</v>
      </c>
      <c r="N106">
        <v>5</v>
      </c>
      <c r="O106">
        <v>1</v>
      </c>
      <c r="P106" t="str">
        <v>Noisy</v>
      </c>
      <c r="Q106" t="str">
        <v>Analyze the situation and handle it with intellect</v>
      </c>
      <c r="R106" t="str">
        <v>No</v>
      </c>
      <c r="S106">
        <v>1</v>
      </c>
      <c r="T106">
        <v>4</v>
      </c>
    </row>
    <row r="107" spans="1:20">
      <c r="A107" s="8" t="s">
        <v>164</v>
      </c>
      <c r="B107" s="8" t="s">
        <v>85</v>
      </c>
      <c r="C107" s="8">
        <v>3</v>
      </c>
      <c r="D107" s="8">
        <v>3</v>
      </c>
      <c r="E107" s="8" t="s">
        <v>49</v>
      </c>
      <c r="F107" s="8" t="s">
        <v>50</v>
      </c>
      <c r="G107" s="8" t="s">
        <v>51</v>
      </c>
      <c r="H107" s="8">
        <v>4</v>
      </c>
      <c r="I107" s="8">
        <v>5</v>
      </c>
      <c r="L107" t="str">
        <v>12/8/25 8:56</v>
      </c>
      <c r="M107" t="str">
        <v>undergraduate</v>
      </c>
      <c r="N107">
        <v>3</v>
      </c>
      <c r="O107">
        <v>5</v>
      </c>
      <c r="P107" t="str">
        <v>Peaceful</v>
      </c>
      <c r="Q107" t="str">
        <v>Analyze the situation and handle it with intellect</v>
      </c>
      <c r="R107" t="str">
        <v>Yes</v>
      </c>
      <c r="S107">
        <v>3</v>
      </c>
      <c r="T107">
        <v>5</v>
      </c>
    </row>
    <row r="108" spans="1:20">
      <c r="A108" s="8" t="s">
        <v>165</v>
      </c>
      <c r="B108" s="8" t="s">
        <v>85</v>
      </c>
      <c r="C108" s="8">
        <v>4</v>
      </c>
      <c r="D108" s="8">
        <v>4</v>
      </c>
      <c r="E108" s="8" t="s">
        <v>60</v>
      </c>
      <c r="F108" s="8" t="s">
        <v>61</v>
      </c>
      <c r="G108" s="8" t="s">
        <v>51</v>
      </c>
      <c r="H108" s="8">
        <v>4</v>
      </c>
      <c r="I108" s="8">
        <v>3</v>
      </c>
      <c r="L108" t="str">
        <v>12/8/25 10:03</v>
      </c>
      <c r="M108" t="str">
        <v>undergraduate</v>
      </c>
      <c r="N108">
        <v>3</v>
      </c>
      <c r="O108">
        <v>4</v>
      </c>
      <c r="P108" t="str">
        <v>disrupted</v>
      </c>
      <c r="Q108" t="str">
        <v>Social support (friends, family)</v>
      </c>
      <c r="R108" t="str">
        <v>No</v>
      </c>
      <c r="S108">
        <v>4</v>
      </c>
      <c r="T108">
        <v>5</v>
      </c>
    </row>
    <row r="109" spans="1:20">
      <c r="A109" s="8" t="s">
        <v>166</v>
      </c>
      <c r="B109" s="8" t="s">
        <v>85</v>
      </c>
      <c r="C109" s="8">
        <v>2</v>
      </c>
      <c r="D109" s="8">
        <v>3</v>
      </c>
      <c r="E109" s="8" t="s">
        <v>49</v>
      </c>
      <c r="F109" s="8" t="s">
        <v>55</v>
      </c>
      <c r="G109" s="8" t="s">
        <v>51</v>
      </c>
      <c r="H109" s="8">
        <v>4</v>
      </c>
      <c r="I109" s="8">
        <v>5</v>
      </c>
      <c r="L109" t="str">
        <v>12/8/25 12:13</v>
      </c>
      <c r="M109" t="str">
        <v>undergraduate</v>
      </c>
      <c r="N109">
        <v>5</v>
      </c>
      <c r="O109">
        <v>5</v>
      </c>
      <c r="P109" t="str">
        <v>Emotional breakdown (crying a lot)</v>
      </c>
      <c r="Q109" t="str">
        <v>No</v>
      </c>
      <c r="R109" t="str">
        <v>No</v>
      </c>
      <c r="S109">
        <v>2</v>
      </c>
      <c r="T109">
        <v>4</v>
      </c>
    </row>
    <row r="110" spans="1:20">
      <c r="A110" s="8" t="s">
        <v>167</v>
      </c>
      <c r="B110" s="8" t="s">
        <v>85</v>
      </c>
      <c r="C110" s="8">
        <v>3</v>
      </c>
      <c r="D110" s="8">
        <v>3</v>
      </c>
      <c r="E110" s="8" t="s">
        <v>53</v>
      </c>
      <c r="F110" s="8" t="s">
        <v>50</v>
      </c>
      <c r="G110" s="8" t="s">
        <v>51</v>
      </c>
      <c r="H110" s="8">
        <v>3</v>
      </c>
      <c r="I110" s="8">
        <v>4</v>
      </c>
      <c r="L110" t="str">
        <v>12/8/25 13:16</v>
      </c>
      <c r="M110" t="str">
        <v>undergraduate</v>
      </c>
      <c r="N110">
        <v>2</v>
      </c>
      <c r="O110">
        <v>2</v>
      </c>
      <c r="P110" t="str">
        <v>Noisy</v>
      </c>
      <c r="Q110" t="str">
        <v>Analyze the situation and handle it with intellect</v>
      </c>
      <c r="R110" t="str">
        <v>No</v>
      </c>
      <c r="S110">
        <v>5</v>
      </c>
      <c r="T110">
        <v>4</v>
      </c>
    </row>
    <row r="111" spans="1:20">
      <c r="A111" s="8" t="s">
        <v>168</v>
      </c>
      <c r="B111" s="8" t="s">
        <v>85</v>
      </c>
      <c r="C111" s="8">
        <v>2</v>
      </c>
      <c r="D111" s="8">
        <v>4</v>
      </c>
      <c r="E111" s="8" t="s">
        <v>53</v>
      </c>
      <c r="F111" s="8" t="s">
        <v>61</v>
      </c>
      <c r="G111" s="8" t="s">
        <v>51</v>
      </c>
      <c r="H111" s="8">
        <v>3</v>
      </c>
      <c r="I111" s="8">
        <v>4</v>
      </c>
      <c r="L111" t="str">
        <v>13/08/2025 21:45:58</v>
      </c>
      <c r="M111" t="str">
        <v>undergraduate</v>
      </c>
      <c r="N111">
        <v>1</v>
      </c>
      <c r="O111">
        <v>1</v>
      </c>
      <c r="P111" t="str">
        <v>Peaceful</v>
      </c>
      <c r="Q111" t="str">
        <v>Analyze the situation and handle it with intellect</v>
      </c>
      <c r="R111" t="str">
        <v>No</v>
      </c>
      <c r="S111">
        <v>3</v>
      </c>
      <c r="T111">
        <v>4</v>
      </c>
    </row>
    <row r="112" spans="1:20">
      <c r="A112" s="8" t="s">
        <v>169</v>
      </c>
      <c r="B112" s="8" t="s">
        <v>85</v>
      </c>
      <c r="C112" s="8">
        <v>2</v>
      </c>
      <c r="D112" s="8">
        <v>4</v>
      </c>
      <c r="E112" s="8" t="s">
        <v>49</v>
      </c>
      <c r="F112" s="8" t="s">
        <v>50</v>
      </c>
      <c r="G112" s="8" t="s">
        <v>51</v>
      </c>
      <c r="H112" s="8">
        <v>3</v>
      </c>
      <c r="I112" s="8">
        <v>3</v>
      </c>
      <c r="L112" t="str">
        <v>14/08/2025 21:06:15</v>
      </c>
      <c r="M112" t="str">
        <v>undergraduate</v>
      </c>
      <c r="N112">
        <v>5</v>
      </c>
      <c r="O112">
        <v>3</v>
      </c>
      <c r="P112" t="str">
        <v>disrupted</v>
      </c>
      <c r="Q112" t="str">
        <v>Analyze the situation and handle it with intellect</v>
      </c>
      <c r="R112" t="str">
        <v>No</v>
      </c>
      <c r="S112">
        <v>2</v>
      </c>
      <c r="T112">
        <v>4</v>
      </c>
    </row>
    <row r="113" spans="1:20">
      <c r="A113" s="8" t="s">
        <v>170</v>
      </c>
      <c r="B113" s="8" t="s">
        <v>48</v>
      </c>
      <c r="C113" s="8">
        <v>1</v>
      </c>
      <c r="D113" s="8">
        <v>1</v>
      </c>
      <c r="E113" s="8" t="s">
        <v>49</v>
      </c>
      <c r="F113" s="8" t="s">
        <v>50</v>
      </c>
      <c r="G113" s="8" t="s">
        <v>51</v>
      </c>
      <c r="H113" s="8">
        <v>4</v>
      </c>
      <c r="I113" s="8">
        <v>3</v>
      </c>
      <c r="L113" t="str">
        <v>17/08/2025 13:02:04</v>
      </c>
      <c r="M113" t="str">
        <v>undergraduate</v>
      </c>
      <c r="N113">
        <v>3</v>
      </c>
      <c r="O113">
        <v>2</v>
      </c>
      <c r="P113" t="str">
        <v>Peaceful</v>
      </c>
      <c r="Q113" t="str">
        <v>Analyze the situation and handle it with intellect</v>
      </c>
      <c r="R113" t="str">
        <v>No</v>
      </c>
      <c r="S113">
        <v>2</v>
      </c>
      <c r="T113">
        <v>4</v>
      </c>
    </row>
    <row r="114" spans="1:20">
      <c r="A114" s="8" t="s">
        <v>171</v>
      </c>
      <c r="B114" s="8" t="s">
        <v>85</v>
      </c>
      <c r="C114" s="8">
        <v>1</v>
      </c>
      <c r="D114" s="8">
        <v>3</v>
      </c>
      <c r="E114" s="8" t="s">
        <v>49</v>
      </c>
      <c r="F114" s="8" t="s">
        <v>50</v>
      </c>
      <c r="G114" s="8" t="s">
        <v>51</v>
      </c>
      <c r="H114" s="8">
        <v>3</v>
      </c>
      <c r="I114" s="8">
        <v>3</v>
      </c>
      <c r="L114" t="str">
        <v>18/08/2025 14:36:00</v>
      </c>
      <c r="M114" t="str">
        <v>undergraduate</v>
      </c>
      <c r="N114">
        <v>4</v>
      </c>
      <c r="O114">
        <v>2</v>
      </c>
      <c r="P114" t="str">
        <v>disrupted</v>
      </c>
      <c r="Q114" t="str">
        <v>Analyze the situation and handle it with intellect</v>
      </c>
      <c r="R114" t="str">
        <v>No</v>
      </c>
      <c r="S114">
        <v>3</v>
      </c>
      <c r="T114">
        <v>4</v>
      </c>
    </row>
    <row r="115" spans="1:20">
      <c r="A115" s="8" t="s">
        <v>172</v>
      </c>
      <c r="B115" s="8" t="s">
        <v>85</v>
      </c>
      <c r="C115" s="8">
        <v>3</v>
      </c>
      <c r="D115" s="8">
        <v>4</v>
      </c>
      <c r="E115" s="8" t="s">
        <v>49</v>
      </c>
      <c r="F115" s="8" t="s">
        <v>61</v>
      </c>
      <c r="G115" s="8" t="s">
        <v>51</v>
      </c>
      <c r="H115" s="8">
        <v>5</v>
      </c>
      <c r="I115" s="8">
        <v>3</v>
      </c>
      <c r="L115" t="str">
        <v>18/08/2025 17:13:52</v>
      </c>
      <c r="M115" t="str">
        <v>undergraduate</v>
      </c>
      <c r="N115">
        <v>3</v>
      </c>
      <c r="O115">
        <v>3</v>
      </c>
      <c r="P115" t="str">
        <v>Peaceful</v>
      </c>
      <c r="Q115" t="str">
        <v>Analyze the situation and handle it with intellect</v>
      </c>
      <c r="R115" t="str">
        <v>No</v>
      </c>
      <c r="S115">
        <v>3</v>
      </c>
      <c r="T115">
        <v>3</v>
      </c>
    </row>
    <row r="116" spans="1:20">
      <c r="A116" s="8" t="s">
        <v>173</v>
      </c>
      <c r="B116" s="8" t="s">
        <v>85</v>
      </c>
      <c r="C116" s="8">
        <v>1</v>
      </c>
      <c r="D116" s="8">
        <v>1</v>
      </c>
      <c r="E116" s="8" t="s">
        <v>53</v>
      </c>
      <c r="F116" s="8" t="s">
        <v>61</v>
      </c>
      <c r="G116" s="8" t="s">
        <v>51</v>
      </c>
      <c r="H116" s="8">
        <v>3</v>
      </c>
      <c r="I116" s="8">
        <v>3</v>
      </c>
      <c r="L116" t="str">
        <v>18/08/2025 19:08:52</v>
      </c>
      <c r="M116" t="str">
        <v>undergraduate</v>
      </c>
      <c r="N116">
        <v>4</v>
      </c>
      <c r="O116">
        <v>5</v>
      </c>
      <c r="P116" t="str">
        <v>disrupted</v>
      </c>
      <c r="Q116" t="str">
        <v>Social support (friends, family)</v>
      </c>
      <c r="R116" t="str">
        <v>No</v>
      </c>
      <c r="S116">
        <v>2</v>
      </c>
      <c r="T116">
        <v>4</v>
      </c>
    </row>
    <row r="117" spans="1:20">
      <c r="A117" s="8" t="s">
        <v>174</v>
      </c>
      <c r="B117" s="8" t="s">
        <v>85</v>
      </c>
      <c r="C117" s="8">
        <v>3</v>
      </c>
      <c r="D117" s="8">
        <v>4</v>
      </c>
      <c r="E117" s="8" t="s">
        <v>53</v>
      </c>
      <c r="F117" s="8" t="s">
        <v>55</v>
      </c>
      <c r="G117" s="8" t="s">
        <v>51</v>
      </c>
      <c r="H117" s="8">
        <v>1</v>
      </c>
      <c r="I117" s="8">
        <v>1</v>
      </c>
      <c r="L117" t="str">
        <v>18/08/2025 22:40:13</v>
      </c>
      <c r="M117" t="str">
        <v>undergraduate</v>
      </c>
      <c r="N117">
        <v>4</v>
      </c>
      <c r="O117">
        <v>2</v>
      </c>
      <c r="P117" t="str">
        <v>Peaceful</v>
      </c>
      <c r="Q117" t="str">
        <v>Social support (friends, family)</v>
      </c>
      <c r="R117" t="str">
        <v>No</v>
      </c>
      <c r="S117">
        <v>4</v>
      </c>
      <c r="T117">
        <v>4</v>
      </c>
    </row>
    <row r="118" spans="1:20">
      <c r="A118" s="8" t="s">
        <v>175</v>
      </c>
      <c r="B118" s="8" t="s">
        <v>85</v>
      </c>
      <c r="C118" s="8">
        <v>3</v>
      </c>
      <c r="D118" s="8">
        <v>1</v>
      </c>
      <c r="E118" s="8" t="s">
        <v>49</v>
      </c>
      <c r="F118" s="8" t="s">
        <v>50</v>
      </c>
      <c r="G118" s="8" t="s">
        <v>51</v>
      </c>
      <c r="H118" s="8">
        <v>2</v>
      </c>
      <c r="I118" s="8">
        <v>2</v>
      </c>
    </row>
    <row r="119" spans="1:20">
      <c r="A119" s="8" t="s">
        <v>176</v>
      </c>
      <c r="B119" s="8" t="s">
        <v>48</v>
      </c>
      <c r="C119" s="8">
        <v>2</v>
      </c>
      <c r="D119" s="8">
        <v>3</v>
      </c>
      <c r="E119" s="8" t="s">
        <v>49</v>
      </c>
      <c r="F119" s="8" t="s">
        <v>50</v>
      </c>
      <c r="G119" s="8" t="s">
        <v>51</v>
      </c>
      <c r="H119" s="8">
        <v>4</v>
      </c>
      <c r="I119" s="8">
        <v>4</v>
      </c>
    </row>
    <row r="120" spans="1:20">
      <c r="A120" s="8" t="s">
        <v>177</v>
      </c>
      <c r="B120" s="8" t="s">
        <v>85</v>
      </c>
      <c r="C120" s="8">
        <v>2</v>
      </c>
      <c r="D120" s="8">
        <v>2</v>
      </c>
      <c r="E120" s="8" t="s">
        <v>53</v>
      </c>
      <c r="F120" s="8" t="s">
        <v>50</v>
      </c>
      <c r="G120" s="8" t="s">
        <v>51</v>
      </c>
      <c r="H120" s="8">
        <v>3</v>
      </c>
      <c r="I120" s="8">
        <v>5</v>
      </c>
    </row>
    <row r="121" spans="1:20">
      <c r="A121" s="8" t="s">
        <v>178</v>
      </c>
      <c r="B121" s="8" t="s">
        <v>85</v>
      </c>
      <c r="C121" s="8">
        <v>4</v>
      </c>
      <c r="D121" s="8">
        <v>5</v>
      </c>
      <c r="E121" s="8" t="s">
        <v>53</v>
      </c>
      <c r="F121" s="8" t="s">
        <v>50</v>
      </c>
      <c r="G121" s="8" t="s">
        <v>51</v>
      </c>
      <c r="H121" s="8">
        <v>4</v>
      </c>
      <c r="I121" s="8">
        <v>4</v>
      </c>
    </row>
    <row r="122" spans="1:20">
      <c r="A122" s="8" t="s">
        <v>179</v>
      </c>
      <c r="B122" s="8" t="s">
        <v>48</v>
      </c>
      <c r="C122" s="8">
        <v>4</v>
      </c>
      <c r="D122" s="8">
        <v>4</v>
      </c>
      <c r="E122" s="8" t="s">
        <v>60</v>
      </c>
      <c r="F122" s="8" t="s">
        <v>50</v>
      </c>
      <c r="G122" s="8" t="s">
        <v>51</v>
      </c>
      <c r="H122" s="8">
        <v>3</v>
      </c>
      <c r="I122" s="8">
        <v>5</v>
      </c>
    </row>
    <row r="123" spans="1:20">
      <c r="A123" s="8" t="s">
        <v>180</v>
      </c>
      <c r="B123" s="8" t="s">
        <v>100</v>
      </c>
      <c r="C123" s="8">
        <v>3</v>
      </c>
      <c r="D123" s="8">
        <v>4</v>
      </c>
      <c r="E123" s="8" t="s">
        <v>53</v>
      </c>
      <c r="F123" s="8" t="s">
        <v>55</v>
      </c>
      <c r="G123" s="8" t="s">
        <v>51</v>
      </c>
      <c r="H123" s="8">
        <v>4</v>
      </c>
      <c r="I123" s="8">
        <v>4</v>
      </c>
    </row>
    <row r="124" spans="1:20">
      <c r="A124" s="8" t="s">
        <v>181</v>
      </c>
      <c r="B124" s="8" t="s">
        <v>48</v>
      </c>
      <c r="C124" s="8">
        <v>5</v>
      </c>
      <c r="D124" s="8">
        <v>1</v>
      </c>
      <c r="E124" s="8" t="s">
        <v>49</v>
      </c>
      <c r="F124" s="8" t="s">
        <v>50</v>
      </c>
      <c r="G124" s="8" t="s">
        <v>51</v>
      </c>
      <c r="H124" s="8">
        <v>1</v>
      </c>
      <c r="I124" s="8">
        <v>4</v>
      </c>
    </row>
    <row r="125" spans="1:20">
      <c r="A125" s="8" t="s">
        <v>182</v>
      </c>
      <c r="B125" s="8" t="s">
        <v>100</v>
      </c>
      <c r="C125" s="8">
        <v>3</v>
      </c>
      <c r="D125" s="8">
        <v>3</v>
      </c>
      <c r="E125" s="8" t="s">
        <v>53</v>
      </c>
      <c r="F125" s="8" t="s">
        <v>50</v>
      </c>
      <c r="G125" s="8" t="s">
        <v>51</v>
      </c>
      <c r="H125" s="8">
        <v>5</v>
      </c>
      <c r="I125" s="8">
        <v>5</v>
      </c>
    </row>
    <row r="126" spans="1:20">
      <c r="A126" s="8" t="s">
        <v>183</v>
      </c>
      <c r="B126" s="8" t="s">
        <v>100</v>
      </c>
      <c r="C126" s="8">
        <v>3</v>
      </c>
      <c r="D126" s="8">
        <v>4</v>
      </c>
      <c r="E126" s="8" t="s">
        <v>53</v>
      </c>
      <c r="F126" s="8" t="s">
        <v>55</v>
      </c>
      <c r="G126" s="8" t="s">
        <v>51</v>
      </c>
      <c r="H126" s="8">
        <v>3</v>
      </c>
      <c r="I126" s="8">
        <v>3</v>
      </c>
    </row>
    <row r="127" spans="1:20">
      <c r="A127" s="8" t="s">
        <v>184</v>
      </c>
      <c r="B127" s="8" t="s">
        <v>100</v>
      </c>
      <c r="C127" s="8">
        <v>3</v>
      </c>
      <c r="D127" s="8">
        <v>1</v>
      </c>
      <c r="E127" s="8" t="s">
        <v>60</v>
      </c>
      <c r="F127" s="8" t="s">
        <v>55</v>
      </c>
      <c r="G127" s="8" t="s">
        <v>51</v>
      </c>
      <c r="H127" s="8">
        <v>2</v>
      </c>
      <c r="I127" s="8">
        <v>4</v>
      </c>
    </row>
    <row r="128" spans="1:20">
      <c r="A128" s="8" t="s">
        <v>185</v>
      </c>
      <c r="B128" s="8" t="s">
        <v>85</v>
      </c>
      <c r="C128" s="8">
        <v>4</v>
      </c>
      <c r="D128" s="8">
        <v>5</v>
      </c>
      <c r="E128" s="8" t="s">
        <v>49</v>
      </c>
      <c r="F128" s="8" t="s">
        <v>61</v>
      </c>
      <c r="G128" s="8" t="s">
        <v>51</v>
      </c>
      <c r="H128" s="8">
        <v>4</v>
      </c>
      <c r="I128" s="8">
        <v>5</v>
      </c>
    </row>
    <row r="129" spans="1:9">
      <c r="A129" s="8" t="s">
        <v>186</v>
      </c>
      <c r="B129" s="8" t="s">
        <v>48</v>
      </c>
      <c r="C129" s="8">
        <v>3</v>
      </c>
      <c r="D129" s="8">
        <v>5</v>
      </c>
      <c r="E129" s="8" t="s">
        <v>53</v>
      </c>
      <c r="F129" s="8" t="s">
        <v>50</v>
      </c>
      <c r="G129" s="8" t="s">
        <v>83</v>
      </c>
      <c r="H129" s="8">
        <v>3</v>
      </c>
      <c r="I129" s="8">
        <v>5</v>
      </c>
    </row>
    <row r="130" spans="1:9">
      <c r="A130" s="8" t="s">
        <v>187</v>
      </c>
      <c r="B130" s="8" t="s">
        <v>48</v>
      </c>
      <c r="C130" s="8">
        <v>3</v>
      </c>
      <c r="D130" s="8">
        <v>4</v>
      </c>
      <c r="E130" s="8" t="s">
        <v>60</v>
      </c>
      <c r="F130" s="8" t="s">
        <v>55</v>
      </c>
      <c r="G130" s="8" t="s">
        <v>51</v>
      </c>
      <c r="H130" s="8">
        <v>4</v>
      </c>
      <c r="I130" s="8">
        <v>5</v>
      </c>
    </row>
    <row r="131" spans="1:9">
      <c r="A131" s="8" t="s">
        <v>188</v>
      </c>
      <c r="B131" s="8" t="s">
        <v>48</v>
      </c>
      <c r="C131" s="8">
        <v>5</v>
      </c>
      <c r="D131" s="8">
        <v>5</v>
      </c>
      <c r="E131" s="8" t="s">
        <v>61</v>
      </c>
      <c r="F131" s="8" t="s">
        <v>51</v>
      </c>
      <c r="G131" s="8" t="s">
        <v>51</v>
      </c>
      <c r="H131" s="8">
        <v>2</v>
      </c>
      <c r="I131" s="8">
        <v>4</v>
      </c>
    </row>
    <row r="132" spans="1:9">
      <c r="A132" s="8" t="s">
        <v>189</v>
      </c>
      <c r="B132" s="8" t="s">
        <v>48</v>
      </c>
      <c r="C132" s="8">
        <v>2</v>
      </c>
      <c r="D132" s="8">
        <v>2</v>
      </c>
      <c r="E132" s="8" t="s">
        <v>49</v>
      </c>
      <c r="F132" s="8" t="s">
        <v>50</v>
      </c>
      <c r="G132" s="8" t="s">
        <v>51</v>
      </c>
      <c r="H132" s="8">
        <v>5</v>
      </c>
      <c r="I132" s="8">
        <v>4</v>
      </c>
    </row>
    <row r="133" spans="1:9">
      <c r="A133" s="8" t="s">
        <v>190</v>
      </c>
      <c r="B133" s="8" t="s">
        <v>85</v>
      </c>
      <c r="C133" s="8">
        <v>4</v>
      </c>
      <c r="D133" s="8">
        <v>4</v>
      </c>
      <c r="E133" s="8" t="s">
        <v>53</v>
      </c>
      <c r="F133" s="8" t="s">
        <v>50</v>
      </c>
      <c r="G133" s="8" t="s">
        <v>51</v>
      </c>
      <c r="H133" s="8">
        <v>4</v>
      </c>
      <c r="I133" s="8">
        <v>3</v>
      </c>
    </row>
    <row r="134" spans="1:9">
      <c r="A134" s="8" t="s">
        <v>191</v>
      </c>
      <c r="B134" s="8" t="s">
        <v>48</v>
      </c>
      <c r="C134" s="8">
        <v>1</v>
      </c>
      <c r="D134" s="8">
        <v>1</v>
      </c>
      <c r="E134" s="8" t="s">
        <v>53</v>
      </c>
      <c r="F134" s="8" t="s">
        <v>50</v>
      </c>
      <c r="G134" s="8" t="s">
        <v>51</v>
      </c>
      <c r="H134" s="8">
        <v>3</v>
      </c>
      <c r="I134" s="8">
        <v>4</v>
      </c>
    </row>
    <row r="135" spans="1:9">
      <c r="A135" s="8" t="s">
        <v>192</v>
      </c>
      <c r="B135" s="8" t="s">
        <v>100</v>
      </c>
      <c r="C135" s="8">
        <v>4</v>
      </c>
      <c r="D135" s="8">
        <v>3</v>
      </c>
      <c r="E135" s="8" t="s">
        <v>60</v>
      </c>
      <c r="F135" s="8" t="s">
        <v>61</v>
      </c>
      <c r="G135" s="8" t="s">
        <v>83</v>
      </c>
      <c r="H135" s="8">
        <v>2</v>
      </c>
      <c r="I135" s="8">
        <v>2</v>
      </c>
    </row>
    <row r="136" spans="1:9">
      <c r="A136" s="8" t="s">
        <v>193</v>
      </c>
      <c r="B136" s="8" t="s">
        <v>48</v>
      </c>
      <c r="C136" s="8">
        <v>5</v>
      </c>
      <c r="D136" s="8">
        <v>3</v>
      </c>
      <c r="E136" s="8" t="s">
        <v>60</v>
      </c>
      <c r="F136" s="8" t="s">
        <v>50</v>
      </c>
      <c r="G136" s="8" t="s">
        <v>51</v>
      </c>
      <c r="H136" s="8">
        <v>2</v>
      </c>
      <c r="I136" s="8">
        <v>4</v>
      </c>
    </row>
    <row r="137" spans="1:9">
      <c r="A137" s="8" t="s">
        <v>194</v>
      </c>
      <c r="B137" s="8" t="s">
        <v>48</v>
      </c>
      <c r="C137" s="8">
        <v>3</v>
      </c>
      <c r="D137" s="8">
        <v>2</v>
      </c>
      <c r="E137" s="8" t="s">
        <v>53</v>
      </c>
      <c r="F137" s="8" t="s">
        <v>50</v>
      </c>
      <c r="G137" s="8" t="s">
        <v>51</v>
      </c>
      <c r="H137" s="8">
        <v>2</v>
      </c>
      <c r="I137" s="8">
        <v>4</v>
      </c>
    </row>
    <row r="138" spans="1:9">
      <c r="A138" s="8" t="s">
        <v>195</v>
      </c>
      <c r="B138" s="8" t="s">
        <v>48</v>
      </c>
      <c r="C138" s="8">
        <v>4</v>
      </c>
      <c r="D138" s="8">
        <v>2</v>
      </c>
      <c r="E138" s="8" t="s">
        <v>60</v>
      </c>
      <c r="F138" s="8" t="s">
        <v>50</v>
      </c>
      <c r="G138" s="8" t="s">
        <v>51</v>
      </c>
      <c r="H138" s="8">
        <v>3</v>
      </c>
      <c r="I138" s="8">
        <v>4</v>
      </c>
    </row>
    <row r="139" spans="1:9">
      <c r="A139" s="8" t="s">
        <v>196</v>
      </c>
      <c r="B139" s="8" t="s">
        <v>48</v>
      </c>
      <c r="C139" s="8">
        <v>3</v>
      </c>
      <c r="D139" s="8">
        <v>3</v>
      </c>
      <c r="E139" s="8" t="s">
        <v>53</v>
      </c>
      <c r="F139" s="8" t="s">
        <v>50</v>
      </c>
      <c r="G139" s="8" t="s">
        <v>51</v>
      </c>
      <c r="H139" s="8">
        <v>3</v>
      </c>
      <c r="I139" s="8">
        <v>3</v>
      </c>
    </row>
    <row r="140" spans="1:9">
      <c r="A140" s="8" t="s">
        <v>197</v>
      </c>
      <c r="B140" s="8" t="s">
        <v>48</v>
      </c>
      <c r="C140" s="8">
        <v>4</v>
      </c>
      <c r="D140" s="8">
        <v>5</v>
      </c>
      <c r="E140" s="8" t="s">
        <v>60</v>
      </c>
      <c r="F140" s="8" t="s">
        <v>55</v>
      </c>
      <c r="G140" s="8" t="s">
        <v>51</v>
      </c>
      <c r="H140" s="8">
        <v>2</v>
      </c>
      <c r="I140" s="8">
        <v>4</v>
      </c>
    </row>
    <row r="141" spans="1:9">
      <c r="A141" s="8" t="s">
        <v>198</v>
      </c>
      <c r="B141" s="8" t="s">
        <v>48</v>
      </c>
      <c r="C141" s="8">
        <v>4</v>
      </c>
      <c r="D141" s="8">
        <v>2</v>
      </c>
      <c r="E141" s="8" t="s">
        <v>53</v>
      </c>
      <c r="F141" s="8" t="s">
        <v>55</v>
      </c>
      <c r="G141" s="8" t="s">
        <v>51</v>
      </c>
      <c r="H141" s="8">
        <v>4</v>
      </c>
      <c r="I141" s="8">
        <v>4</v>
      </c>
    </row>
  </sheetData>
  <mergeCells count="1"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6214-56D5-45AA-ABB0-B76046D05D58}">
  <dimension ref="A1:G134"/>
  <sheetViews>
    <sheetView tabSelected="1" workbookViewId="0">
      <selection activeCell="I20" sqref="I20"/>
    </sheetView>
  </sheetViews>
  <sheetFormatPr defaultRowHeight="13.75"/>
  <cols>
    <col min="1" max="1" width="38" customWidth="1"/>
    <col min="5" max="5" width="22" customWidth="1"/>
    <col min="6" max="6" width="30" customWidth="1"/>
  </cols>
  <sheetData>
    <row r="1" spans="1:7" ht="17.600000000000001">
      <c r="A1" s="21" t="s">
        <v>211</v>
      </c>
      <c r="B1" s="22"/>
      <c r="C1" s="22"/>
    </row>
    <row r="2" spans="1:7">
      <c r="A2" s="15" t="s">
        <v>212</v>
      </c>
      <c r="E2" s="20" t="s">
        <v>213</v>
      </c>
      <c r="F2" s="20" t="s">
        <v>214</v>
      </c>
    </row>
    <row r="3" spans="1:7">
      <c r="A3" s="8" t="s">
        <v>215</v>
      </c>
      <c r="E3" s="12" t="str">
        <f>LEFT(A3, FIND("_", A3)-1)</f>
        <v>GAMNARAI</v>
      </c>
      <c r="F3" s="13" t="str">
        <f>SUBSTITUTE(A3, "@SILPAKORN.EDU", "@su.ac.th")</f>
        <v>GAMNARAI_W@su.ac.th</v>
      </c>
      <c r="G3" s="17" t="s">
        <v>218</v>
      </c>
    </row>
    <row r="4" spans="1:7">
      <c r="A4" s="8" t="s">
        <v>216</v>
      </c>
      <c r="E4" s="12" t="str">
        <f t="shared" ref="E4:E24" si="0">LEFT(A4, FIND("_", A4)-1)</f>
        <v>WATTANAPOKAYAKI</v>
      </c>
      <c r="F4" s="13" t="str">
        <f t="shared" ref="F4:F67" si="1">SUBSTITUTE(A4, "@SILPAKORN.EDU", "@su.ac.th")</f>
        <v>WATTANAPOKAYAKI_K@su.ac.th</v>
      </c>
    </row>
    <row r="5" spans="1:7">
      <c r="A5" s="8" t="s">
        <v>217</v>
      </c>
      <c r="E5" s="12" t="str">
        <f t="shared" si="0"/>
        <v>SRICHOMPHOL</v>
      </c>
      <c r="F5" s="13" t="str">
        <f t="shared" si="1"/>
        <v>SRICHOMPHOL_P@su.ac.th</v>
      </c>
    </row>
    <row r="6" spans="1:7">
      <c r="A6" s="8" t="s">
        <v>219</v>
      </c>
      <c r="E6" s="12" t="str">
        <f t="shared" si="0"/>
        <v>SAMNIENGYEN</v>
      </c>
      <c r="F6" s="13" t="str">
        <f t="shared" si="1"/>
        <v>SAMNIENGYEN_W@su.ac.th</v>
      </c>
    </row>
    <row r="7" spans="1:7">
      <c r="A7" s="8" t="s">
        <v>220</v>
      </c>
      <c r="E7" s="12" t="str">
        <f t="shared" si="0"/>
        <v>WANRUANGRONG</v>
      </c>
      <c r="F7" s="13" t="str">
        <f t="shared" si="1"/>
        <v>WANRUANGRONG_P@su.ac.th</v>
      </c>
    </row>
    <row r="8" spans="1:7">
      <c r="A8" s="8" t="s">
        <v>221</v>
      </c>
      <c r="E8" s="12" t="str">
        <f t="shared" si="0"/>
        <v>THONGJAN</v>
      </c>
      <c r="F8" s="13" t="str">
        <f t="shared" si="1"/>
        <v>THONGJAN_P@su.ac.th</v>
      </c>
    </row>
    <row r="9" spans="1:7">
      <c r="A9" s="8" t="s">
        <v>222</v>
      </c>
      <c r="E9" s="12" t="str">
        <f t="shared" si="0"/>
        <v>KHONGRITH</v>
      </c>
      <c r="F9" s="13" t="str">
        <f t="shared" si="1"/>
        <v>KHONGRITH_P@su.ac.th</v>
      </c>
    </row>
    <row r="10" spans="1:7">
      <c r="A10" s="8" t="s">
        <v>223</v>
      </c>
      <c r="E10" s="12" t="str">
        <f t="shared" si="0"/>
        <v>WIANTIANG</v>
      </c>
      <c r="F10" s="13" t="str">
        <f t="shared" si="1"/>
        <v>WIANTIANG_P@su.ac.th</v>
      </c>
    </row>
    <row r="11" spans="1:7">
      <c r="A11" s="8" t="s">
        <v>224</v>
      </c>
      <c r="E11" s="12" t="str">
        <f t="shared" si="0"/>
        <v>PHIMOON</v>
      </c>
      <c r="F11" s="13" t="str">
        <f t="shared" si="1"/>
        <v>PHIMOON_A@su.ac.th</v>
      </c>
    </row>
    <row r="12" spans="1:7">
      <c r="A12" s="8" t="s">
        <v>225</v>
      </c>
      <c r="E12" s="12" t="str">
        <f t="shared" si="0"/>
        <v>THONGSIRI</v>
      </c>
      <c r="F12" s="13" t="str">
        <f t="shared" si="1"/>
        <v>THONGSIRI_J@su.ac.th</v>
      </c>
    </row>
    <row r="13" spans="1:7">
      <c r="A13" s="8" t="s">
        <v>226</v>
      </c>
      <c r="E13" s="12" t="str">
        <f t="shared" si="0"/>
        <v>JANAIAD</v>
      </c>
      <c r="F13" s="13" t="str">
        <f t="shared" si="1"/>
        <v>JANAIAD_C@su.ac.th</v>
      </c>
    </row>
    <row r="14" spans="1:7">
      <c r="A14" s="8" t="s">
        <v>227</v>
      </c>
      <c r="E14" s="12" t="str">
        <f t="shared" si="0"/>
        <v>KAEWKHAISAENG</v>
      </c>
      <c r="F14" s="13" t="str">
        <f t="shared" si="1"/>
        <v>KAEWKHAISAENG_P@su.ac.th</v>
      </c>
    </row>
    <row r="15" spans="1:7">
      <c r="A15" s="8" t="s">
        <v>228</v>
      </c>
      <c r="E15" s="12" t="str">
        <f t="shared" si="0"/>
        <v>KAEWCHAT</v>
      </c>
      <c r="F15" s="13" t="str">
        <f t="shared" si="1"/>
        <v>KAEWCHAT_P2@su.ac.th</v>
      </c>
    </row>
    <row r="16" spans="1:7">
      <c r="A16" s="8" t="s">
        <v>229</v>
      </c>
      <c r="E16" s="12" t="str">
        <f t="shared" si="0"/>
        <v>SANGTHONG</v>
      </c>
      <c r="F16" s="13" t="str">
        <f t="shared" si="1"/>
        <v>SANGTHONG_M2@su.ac.th</v>
      </c>
    </row>
    <row r="17" spans="1:6">
      <c r="A17" s="8" t="s">
        <v>230</v>
      </c>
      <c r="E17" s="12" t="str">
        <f t="shared" si="0"/>
        <v>TONGCHAI</v>
      </c>
      <c r="F17" s="13" t="str">
        <f t="shared" si="1"/>
        <v>TONGCHAI_W@su.ac.th</v>
      </c>
    </row>
    <row r="18" spans="1:6">
      <c r="A18" s="8" t="s">
        <v>231</v>
      </c>
      <c r="E18" s="12" t="str">
        <f t="shared" si="0"/>
        <v>OBOUN</v>
      </c>
      <c r="F18" s="13" t="str">
        <f t="shared" si="1"/>
        <v>OBOUN_S@su.ac.th</v>
      </c>
    </row>
    <row r="19" spans="1:6">
      <c r="A19" s="8" t="s">
        <v>232</v>
      </c>
      <c r="E19" s="12" t="str">
        <f t="shared" si="0"/>
        <v>KETAM</v>
      </c>
      <c r="F19" s="13" t="str">
        <f t="shared" si="1"/>
        <v>KETAM_S@su.ac.th</v>
      </c>
    </row>
    <row r="20" spans="1:6">
      <c r="A20" s="8" t="s">
        <v>233</v>
      </c>
      <c r="E20" s="12" t="str">
        <f t="shared" si="0"/>
        <v>AIAMSAARD</v>
      </c>
      <c r="F20" s="13" t="str">
        <f t="shared" si="1"/>
        <v>AIAMSAARD_K@su.ac.th</v>
      </c>
    </row>
    <row r="21" spans="1:6">
      <c r="A21" s="8" t="s">
        <v>234</v>
      </c>
      <c r="E21" s="12" t="str">
        <f t="shared" si="0"/>
        <v>SANGARUN</v>
      </c>
      <c r="F21" s="13" t="str">
        <f t="shared" si="1"/>
        <v>SANGARUN_K@su.ac.th</v>
      </c>
    </row>
    <row r="22" spans="1:6">
      <c r="A22" s="8" t="s">
        <v>235</v>
      </c>
      <c r="E22" s="12" t="str">
        <f t="shared" si="0"/>
        <v>SANGCHAN</v>
      </c>
      <c r="F22" s="13" t="str">
        <f t="shared" si="1"/>
        <v>SANGCHAN_K@su.ac.th</v>
      </c>
    </row>
    <row r="23" spans="1:6">
      <c r="A23" s="8" t="s">
        <v>236</v>
      </c>
      <c r="E23" s="12" t="str">
        <f t="shared" si="0"/>
        <v>AJWONGSA</v>
      </c>
      <c r="F23" s="13" t="str">
        <f t="shared" si="1"/>
        <v>AJWONGSA_K@su.ac.th</v>
      </c>
    </row>
    <row r="24" spans="1:6">
      <c r="A24" s="8" t="s">
        <v>237</v>
      </c>
      <c r="E24" s="12" t="str">
        <f t="shared" si="0"/>
        <v>JAMPA</v>
      </c>
      <c r="F24" s="13" t="str">
        <f t="shared" si="1"/>
        <v>JAMPA_K@su.ac.th</v>
      </c>
    </row>
    <row r="25" spans="1:6">
      <c r="A25" s="8" t="s">
        <v>238</v>
      </c>
      <c r="E25" s="12" t="str">
        <f t="shared" ref="E25:E51" si="2">LEFT(A25, FIND("_", A25)-1)</f>
        <v>JOOLAM</v>
      </c>
      <c r="F25" s="13" t="str">
        <f t="shared" si="1"/>
        <v>JOOLAM_K@su.ac.th</v>
      </c>
    </row>
    <row r="26" spans="1:6">
      <c r="A26" s="8" t="s">
        <v>239</v>
      </c>
      <c r="E26" s="12" t="str">
        <f t="shared" si="2"/>
        <v>CHANAPHIRAK</v>
      </c>
      <c r="F26" s="13" t="str">
        <f t="shared" si="1"/>
        <v>CHANAPHIRAK_K@su.ac.th</v>
      </c>
    </row>
    <row r="27" spans="1:6">
      <c r="A27" s="8" t="s">
        <v>240</v>
      </c>
      <c r="E27" s="12" t="str">
        <f t="shared" si="2"/>
        <v>NALUAN</v>
      </c>
      <c r="F27" s="13" t="str">
        <f t="shared" si="1"/>
        <v>NALUAN_J@su.ac.th</v>
      </c>
    </row>
    <row r="28" spans="1:6">
      <c r="A28" s="8" t="s">
        <v>241</v>
      </c>
      <c r="E28" s="12" t="str">
        <f t="shared" si="2"/>
        <v>SANGPROMMA</v>
      </c>
      <c r="F28" s="13" t="str">
        <f t="shared" si="1"/>
        <v>SANGPROMMA_C@su.ac.th</v>
      </c>
    </row>
    <row r="29" spans="1:6">
      <c r="A29" s="8" t="s">
        <v>242</v>
      </c>
      <c r="E29" s="12" t="str">
        <f t="shared" si="2"/>
        <v>SOMRUNJIT</v>
      </c>
      <c r="F29" s="13" t="str">
        <f t="shared" si="1"/>
        <v>SOMRUNJIT_C@su.ac.th</v>
      </c>
    </row>
    <row r="30" spans="1:6">
      <c r="A30" s="8" t="s">
        <v>243</v>
      </c>
      <c r="E30" s="12" t="str">
        <f t="shared" si="2"/>
        <v>REAMTHAISONG</v>
      </c>
      <c r="F30" s="13" t="str">
        <f t="shared" si="1"/>
        <v>REAMTHAISONG_C@su.ac.th</v>
      </c>
    </row>
    <row r="31" spans="1:6">
      <c r="A31" s="8" t="s">
        <v>244</v>
      </c>
      <c r="E31" s="12" t="str">
        <f t="shared" si="2"/>
        <v>NGIWTHONG</v>
      </c>
      <c r="F31" s="13" t="str">
        <f t="shared" si="1"/>
        <v>NGIWTHONG_C@su.ac.th</v>
      </c>
    </row>
    <row r="32" spans="1:6">
      <c r="A32" s="8" t="s">
        <v>245</v>
      </c>
      <c r="E32" s="12" t="str">
        <f t="shared" si="2"/>
        <v>PHONGAM</v>
      </c>
      <c r="F32" s="13" t="str">
        <f t="shared" si="1"/>
        <v>PHONGAM_Y@su.ac.th</v>
      </c>
    </row>
    <row r="33" spans="1:6">
      <c r="A33" s="8" t="s">
        <v>246</v>
      </c>
      <c r="E33" s="12" t="str">
        <f t="shared" si="2"/>
        <v>SUKSUNGNOEN</v>
      </c>
      <c r="F33" s="13" t="str">
        <f t="shared" si="1"/>
        <v>SUKSUNGNOEN_T@su.ac.th</v>
      </c>
    </row>
    <row r="34" spans="1:6">
      <c r="A34" s="8" t="s">
        <v>247</v>
      </c>
      <c r="E34" s="12" t="str">
        <f t="shared" si="2"/>
        <v>PUENGBANG</v>
      </c>
      <c r="F34" s="13" t="str">
        <f t="shared" si="1"/>
        <v>PUENGBANG_N@su.ac.th</v>
      </c>
    </row>
    <row r="35" spans="1:6">
      <c r="A35" s="8" t="s">
        <v>248</v>
      </c>
      <c r="E35" s="12" t="str">
        <f t="shared" si="2"/>
        <v>SRISUK</v>
      </c>
      <c r="F35" s="13" t="str">
        <f t="shared" si="1"/>
        <v>SRISUK_N8@su.ac.th</v>
      </c>
    </row>
    <row r="36" spans="1:6">
      <c r="A36" s="8" t="s">
        <v>249</v>
      </c>
      <c r="E36" s="12" t="str">
        <f t="shared" si="2"/>
        <v>KLOMSAKUN</v>
      </c>
      <c r="F36" s="13" t="str">
        <f t="shared" si="1"/>
        <v>KLOMSAKUN_T2@su.ac.th</v>
      </c>
    </row>
    <row r="37" spans="1:6">
      <c r="A37" s="8" t="s">
        <v>250</v>
      </c>
      <c r="E37" s="12" t="str">
        <f t="shared" si="2"/>
        <v>SRIWASUT</v>
      </c>
      <c r="F37" s="13" t="str">
        <f t="shared" si="1"/>
        <v>SRIWASUT_T2@su.ac.th</v>
      </c>
    </row>
    <row r="38" spans="1:6">
      <c r="A38" s="8" t="s">
        <v>251</v>
      </c>
      <c r="E38" s="12" t="str">
        <f t="shared" si="2"/>
        <v>TINKAN</v>
      </c>
      <c r="F38" s="13" t="str">
        <f t="shared" si="1"/>
        <v>TINKAN_T@su.ac.th</v>
      </c>
    </row>
    <row r="39" spans="1:6">
      <c r="A39" s="8" t="s">
        <v>252</v>
      </c>
      <c r="E39" s="12" t="str">
        <f t="shared" si="2"/>
        <v>BOONTEIM</v>
      </c>
      <c r="F39" s="13" t="str">
        <f t="shared" si="1"/>
        <v>BOONTEIM_T@su.ac.th</v>
      </c>
    </row>
    <row r="40" spans="1:6">
      <c r="A40" s="8" t="s">
        <v>253</v>
      </c>
      <c r="E40" s="12" t="str">
        <f t="shared" si="2"/>
        <v>SANHAN</v>
      </c>
      <c r="F40" s="13" t="str">
        <f t="shared" si="1"/>
        <v>SANHAN_T@su.ac.th</v>
      </c>
    </row>
    <row r="41" spans="1:6">
      <c r="A41" s="8" t="s">
        <v>254</v>
      </c>
      <c r="E41" s="12" t="str">
        <f t="shared" si="2"/>
        <v>PETDUL</v>
      </c>
      <c r="F41" s="13" t="str">
        <f t="shared" si="1"/>
        <v>PETDUL_T@su.ac.th</v>
      </c>
    </row>
    <row r="42" spans="1:6">
      <c r="A42" s="8" t="s">
        <v>255</v>
      </c>
      <c r="E42" s="12" t="str">
        <f t="shared" si="2"/>
        <v>BOONPHUEAN</v>
      </c>
      <c r="F42" s="13" t="str">
        <f t="shared" si="1"/>
        <v>BOONPHUEAN_N@su.ac.th</v>
      </c>
    </row>
    <row r="43" spans="1:6">
      <c r="A43" s="8" t="s">
        <v>256</v>
      </c>
      <c r="E43" s="12" t="str">
        <f t="shared" si="2"/>
        <v>CHUSING</v>
      </c>
      <c r="F43" s="13" t="str">
        <f t="shared" si="1"/>
        <v>CHUSING_B@su.ac.th</v>
      </c>
    </row>
    <row r="44" spans="1:6">
      <c r="A44" s="8" t="s">
        <v>257</v>
      </c>
      <c r="E44" s="12" t="str">
        <f t="shared" si="2"/>
        <v>SUKSOMBAT</v>
      </c>
      <c r="F44" s="13" t="str">
        <f t="shared" si="1"/>
        <v>SUKSOMBAT_B@su.ac.th</v>
      </c>
    </row>
    <row r="45" spans="1:6">
      <c r="A45" s="8" t="s">
        <v>258</v>
      </c>
      <c r="E45" s="12" t="str">
        <f t="shared" si="2"/>
        <v>WANTHONG</v>
      </c>
      <c r="F45" s="13" t="str">
        <f t="shared" si="1"/>
        <v>WANTHONG_P2@su.ac.th</v>
      </c>
    </row>
    <row r="46" spans="1:6">
      <c r="A46" s="8" t="s">
        <v>259</v>
      </c>
      <c r="E46" s="12" t="str">
        <f t="shared" si="2"/>
        <v>CHOEDSAENG</v>
      </c>
      <c r="F46" s="13" t="str">
        <f t="shared" si="1"/>
        <v>CHOEDSAENG_P@su.ac.th</v>
      </c>
    </row>
    <row r="47" spans="1:6">
      <c r="A47" s="8" t="s">
        <v>260</v>
      </c>
      <c r="E47" s="12" t="str">
        <f t="shared" si="2"/>
        <v>PIMNUCH</v>
      </c>
      <c r="F47" s="13" t="str">
        <f t="shared" si="1"/>
        <v>PIMNUCH_P@su.ac.th</v>
      </c>
    </row>
    <row r="48" spans="1:6">
      <c r="A48" s="8" t="s">
        <v>261</v>
      </c>
      <c r="E48" s="12" t="str">
        <f t="shared" si="2"/>
        <v>PINGO</v>
      </c>
      <c r="F48" s="13" t="str">
        <f t="shared" si="1"/>
        <v>PINGO_P@su.ac.th</v>
      </c>
    </row>
    <row r="49" spans="1:6">
      <c r="A49" s="8" t="s">
        <v>262</v>
      </c>
      <c r="E49" s="12" t="str">
        <f t="shared" si="2"/>
        <v>SUKJIRANG</v>
      </c>
      <c r="F49" s="13" t="str">
        <f t="shared" si="1"/>
        <v>SUKJIRANG_P@su.ac.th</v>
      </c>
    </row>
    <row r="50" spans="1:6">
      <c r="A50" s="8" t="s">
        <v>263</v>
      </c>
      <c r="E50" s="12" t="str">
        <f t="shared" si="2"/>
        <v>SURASINGKRAISON</v>
      </c>
      <c r="F50" s="13" t="str">
        <f t="shared" si="1"/>
        <v>SURASINGKRAISON_P@su.ac.th</v>
      </c>
    </row>
    <row r="51" spans="1:6">
      <c r="A51" s="8" t="s">
        <v>264</v>
      </c>
      <c r="E51" s="12" t="str">
        <f t="shared" si="2"/>
        <v>POOLSUKHO</v>
      </c>
      <c r="F51" s="13" t="str">
        <f t="shared" si="1"/>
        <v>POOLSUKHO_P@su.ac.th</v>
      </c>
    </row>
    <row r="52" spans="1:6">
      <c r="A52" s="8" t="s">
        <v>265</v>
      </c>
      <c r="E52" s="12" t="str">
        <f t="shared" ref="E52:E115" si="3">LEFT(A52, FIND("_", A52)-1)</f>
        <v>CHADNORASET</v>
      </c>
      <c r="F52" s="13" t="str">
        <f t="shared" si="1"/>
        <v>CHADNORASET_P@su.ac.th</v>
      </c>
    </row>
    <row r="53" spans="1:6">
      <c r="A53" s="8" t="s">
        <v>266</v>
      </c>
      <c r="E53" s="12" t="str">
        <f t="shared" si="3"/>
        <v>SRICHANKEN</v>
      </c>
      <c r="F53" s="13" t="str">
        <f t="shared" si="1"/>
        <v>SRICHANKEN_P@su.ac.th</v>
      </c>
    </row>
    <row r="54" spans="1:6">
      <c r="A54" s="8" t="s">
        <v>267</v>
      </c>
      <c r="E54" s="12" t="str">
        <f t="shared" si="3"/>
        <v>CHAROENPON</v>
      </c>
      <c r="F54" s="13" t="str">
        <f t="shared" si="1"/>
        <v>CHAROENPON_F@su.ac.th</v>
      </c>
    </row>
    <row r="55" spans="1:6">
      <c r="A55" s="8" t="s">
        <v>268</v>
      </c>
      <c r="E55" s="12" t="str">
        <f t="shared" si="3"/>
        <v>KITWIRIYAPAPORN</v>
      </c>
      <c r="F55" s="13" t="str">
        <f t="shared" si="1"/>
        <v>KITWIRIYAPAPORN_P@su.ac.th</v>
      </c>
    </row>
    <row r="56" spans="1:6">
      <c r="A56" s="8" t="s">
        <v>269</v>
      </c>
      <c r="E56" s="12" t="str">
        <f t="shared" si="3"/>
        <v>KASEM</v>
      </c>
      <c r="F56" s="13" t="str">
        <f t="shared" si="1"/>
        <v>KASEM_P2@su.ac.th</v>
      </c>
    </row>
    <row r="57" spans="1:6">
      <c r="A57" s="8" t="s">
        <v>270</v>
      </c>
      <c r="E57" s="12" t="str">
        <f t="shared" si="3"/>
        <v>YUANTORWONG</v>
      </c>
      <c r="F57" s="13" t="str">
        <f t="shared" si="1"/>
        <v>YUANTORWONG_M@su.ac.th</v>
      </c>
    </row>
    <row r="58" spans="1:6">
      <c r="A58" s="8" t="s">
        <v>271</v>
      </c>
      <c r="E58" s="12" t="str">
        <f t="shared" si="3"/>
        <v>BOONMEE</v>
      </c>
      <c r="F58" s="13" t="str">
        <f t="shared" si="1"/>
        <v>BOONMEE_M2@su.ac.th</v>
      </c>
    </row>
    <row r="59" spans="1:6">
      <c r="A59" s="8" t="s">
        <v>272</v>
      </c>
      <c r="E59" s="12" t="str">
        <f t="shared" si="3"/>
        <v>PONGWAT</v>
      </c>
      <c r="F59" s="13" t="str">
        <f t="shared" si="1"/>
        <v>PONGWAT_M@su.ac.th</v>
      </c>
    </row>
    <row r="60" spans="1:6">
      <c r="A60" s="8" t="s">
        <v>273</v>
      </c>
      <c r="E60" s="12" t="str">
        <f t="shared" si="3"/>
        <v>KRUTTAMKHAM</v>
      </c>
      <c r="F60" s="13" t="str">
        <f t="shared" si="1"/>
        <v>KRUTTAMKHAM_W@su.ac.th</v>
      </c>
    </row>
    <row r="61" spans="1:6">
      <c r="A61" s="8" t="s">
        <v>274</v>
      </c>
      <c r="E61" s="12" t="str">
        <f t="shared" si="3"/>
        <v>PHONPASEE</v>
      </c>
      <c r="F61" s="13" t="str">
        <f t="shared" si="1"/>
        <v>PHONPASEE_W@su.ac.th</v>
      </c>
    </row>
    <row r="62" spans="1:6">
      <c r="A62" s="8" t="s">
        <v>275</v>
      </c>
      <c r="E62" s="12" t="str">
        <f t="shared" si="3"/>
        <v>SAKUNKHLOI</v>
      </c>
      <c r="F62" s="13" t="str">
        <f t="shared" si="1"/>
        <v>SAKUNKHLOI_W@su.ac.th</v>
      </c>
    </row>
    <row r="63" spans="1:6">
      <c r="A63" s="8" t="s">
        <v>276</v>
      </c>
      <c r="E63" s="12" t="str">
        <f t="shared" si="3"/>
        <v>PANAIN</v>
      </c>
      <c r="F63" s="13" t="str">
        <f t="shared" si="1"/>
        <v>PANAIN_W@su.ac.th</v>
      </c>
    </row>
    <row r="64" spans="1:6">
      <c r="A64" s="8" t="s">
        <v>277</v>
      </c>
      <c r="E64" s="12" t="str">
        <f t="shared" si="3"/>
        <v>SAWADMONGKON</v>
      </c>
      <c r="F64" s="13" t="str">
        <f t="shared" si="1"/>
        <v>SAWADMONGKON_W@su.ac.th</v>
      </c>
    </row>
    <row r="65" spans="1:6">
      <c r="A65" s="8" t="s">
        <v>278</v>
      </c>
      <c r="E65" s="12" t="str">
        <f t="shared" si="3"/>
        <v>SUEPAIAM</v>
      </c>
      <c r="F65" s="13" t="str">
        <f t="shared" si="1"/>
        <v>SUEPAIAM_S@su.ac.th</v>
      </c>
    </row>
    <row r="66" spans="1:6">
      <c r="A66" s="8" t="s">
        <v>279</v>
      </c>
      <c r="E66" s="12" t="str">
        <f t="shared" si="3"/>
        <v>BANGDUANSAWAD</v>
      </c>
      <c r="F66" s="13" t="str">
        <f t="shared" si="1"/>
        <v>BANGDUANSAWAD_S@su.ac.th</v>
      </c>
    </row>
    <row r="67" spans="1:6">
      <c r="A67" s="8" t="s">
        <v>280</v>
      </c>
      <c r="E67" s="12" t="str">
        <f t="shared" si="3"/>
        <v>SRIEAM</v>
      </c>
      <c r="F67" s="13" t="str">
        <f t="shared" si="1"/>
        <v>SRIEAM_S@su.ac.th</v>
      </c>
    </row>
    <row r="68" spans="1:6">
      <c r="A68" s="8" t="s">
        <v>281</v>
      </c>
      <c r="E68" s="12" t="str">
        <f t="shared" si="3"/>
        <v>MULASEEWA</v>
      </c>
      <c r="F68" s="13" t="str">
        <f t="shared" ref="F68:F131" si="4">SUBSTITUTE(A68, "@SILPAKORN.EDU", "@su.ac.th")</f>
        <v>MULASEEWA_S@su.ac.th</v>
      </c>
    </row>
    <row r="69" spans="1:6">
      <c r="A69" s="8" t="s">
        <v>282</v>
      </c>
      <c r="E69" s="12" t="str">
        <f t="shared" si="3"/>
        <v>CHAMNAN</v>
      </c>
      <c r="F69" s="13" t="str">
        <f t="shared" si="4"/>
        <v>CHAMNAN_S3@su.ac.th</v>
      </c>
    </row>
    <row r="70" spans="1:6">
      <c r="A70" s="8" t="s">
        <v>283</v>
      </c>
      <c r="E70" s="12" t="str">
        <f t="shared" si="3"/>
        <v>HUNCHAROEN</v>
      </c>
      <c r="F70" s="13" t="str">
        <f t="shared" si="4"/>
        <v>HUNCHAROEN_S@su.ac.th</v>
      </c>
    </row>
    <row r="71" spans="1:6">
      <c r="A71" s="8" t="s">
        <v>284</v>
      </c>
      <c r="E71" s="12" t="str">
        <f>LEFT(A71, FIND("_", A71)-1)</f>
        <v>KAISUAN</v>
      </c>
      <c r="F71" s="13" t="str">
        <f t="shared" si="4"/>
        <v>KAISUAN_H@su.ac.th</v>
      </c>
    </row>
    <row r="72" spans="1:6">
      <c r="A72" s="8" t="s">
        <v>285</v>
      </c>
      <c r="E72" s="12" t="str">
        <f t="shared" si="3"/>
        <v>SIMRAKSA</v>
      </c>
      <c r="F72" s="13" t="str">
        <f t="shared" si="4"/>
        <v>SIMRAKSA_A@su.ac.th</v>
      </c>
    </row>
    <row r="73" spans="1:6">
      <c r="A73" s="8" t="s">
        <v>286</v>
      </c>
      <c r="E73" s="12" t="str">
        <f t="shared" si="3"/>
        <v>SAMEE</v>
      </c>
      <c r="F73" s="13" t="str">
        <f t="shared" si="4"/>
        <v>SAMEE_A@su.ac.th</v>
      </c>
    </row>
    <row r="74" spans="1:6">
      <c r="A74" s="8" t="s">
        <v>287</v>
      </c>
      <c r="E74" s="12" t="str">
        <f t="shared" si="3"/>
        <v>SUKHONG</v>
      </c>
      <c r="F74" s="13" t="str">
        <f t="shared" si="4"/>
        <v>SUKHONG_J@su.ac.th</v>
      </c>
    </row>
    <row r="75" spans="1:6">
      <c r="A75" s="8" t="s">
        <v>288</v>
      </c>
      <c r="E75" s="12" t="str">
        <f t="shared" si="3"/>
        <v>SAPTHAMRONGKUN</v>
      </c>
      <c r="F75" s="13" t="str">
        <f t="shared" si="4"/>
        <v>SAPTHAMRONGKUN_T@su.ac.th</v>
      </c>
    </row>
    <row r="76" spans="1:6">
      <c r="A76" s="8" t="s">
        <v>289</v>
      </c>
      <c r="E76" s="12" t="str">
        <f t="shared" si="3"/>
        <v>SAPNGOEN</v>
      </c>
      <c r="F76" s="13" t="str">
        <f t="shared" si="4"/>
        <v>SAPNGOEN_B@su.ac.th</v>
      </c>
    </row>
    <row r="77" spans="1:6">
      <c r="A77" s="8" t="s">
        <v>290</v>
      </c>
      <c r="E77" s="12" t="str">
        <f t="shared" si="3"/>
        <v>KRASAEKON</v>
      </c>
      <c r="F77" s="13" t="str">
        <f t="shared" si="4"/>
        <v>KRASAEKON_P@su.ac.th</v>
      </c>
    </row>
    <row r="78" spans="1:6">
      <c r="A78" s="8" t="s">
        <v>291</v>
      </c>
      <c r="E78" s="12" t="str">
        <f t="shared" si="3"/>
        <v>PHASUK</v>
      </c>
      <c r="F78" s="13" t="str">
        <f t="shared" si="4"/>
        <v>PHASUK_W@su.ac.th</v>
      </c>
    </row>
    <row r="79" spans="1:6">
      <c r="A79" s="8" t="s">
        <v>292</v>
      </c>
      <c r="E79" s="12" t="str">
        <f t="shared" si="3"/>
        <v>KOPRASERTSIL</v>
      </c>
      <c r="F79" s="13" t="str">
        <f t="shared" si="4"/>
        <v>KOPRASERTSIL_S@su.ac.th</v>
      </c>
    </row>
    <row r="80" spans="1:6">
      <c r="A80" s="8" t="s">
        <v>293</v>
      </c>
      <c r="E80" s="12" t="str">
        <f t="shared" si="3"/>
        <v>THADKRATHOK</v>
      </c>
      <c r="F80" s="13" t="str">
        <f t="shared" si="4"/>
        <v>THADKRATHOK_I@su.ac.th</v>
      </c>
    </row>
    <row r="81" spans="1:6">
      <c r="A81" s="8" t="s">
        <v>294</v>
      </c>
      <c r="E81" s="12" t="str">
        <f t="shared" si="3"/>
        <v>WONGCHAN</v>
      </c>
      <c r="F81" s="13" t="str">
        <f t="shared" si="4"/>
        <v>WONGCHAN_K@su.ac.th</v>
      </c>
    </row>
    <row r="82" spans="1:6">
      <c r="A82" s="8" t="s">
        <v>295</v>
      </c>
      <c r="E82" s="12" t="str">
        <f t="shared" si="3"/>
        <v>KHAMPONG</v>
      </c>
      <c r="F82" s="13" t="str">
        <f t="shared" si="4"/>
        <v>KHAMPONG_K@su.ac.th</v>
      </c>
    </row>
    <row r="83" spans="1:6">
      <c r="A83" s="8" t="s">
        <v>296</v>
      </c>
      <c r="E83" s="12" t="str">
        <f t="shared" si="3"/>
        <v>TUBPAVATIN</v>
      </c>
      <c r="F83" s="13" t="str">
        <f t="shared" si="4"/>
        <v>TUBPAVATIN_J@su.ac.th</v>
      </c>
    </row>
    <row r="84" spans="1:6">
      <c r="A84" s="8" t="s">
        <v>297</v>
      </c>
      <c r="E84" s="12" t="str">
        <f t="shared" si="3"/>
        <v>PONGPANIT</v>
      </c>
      <c r="F84" s="13" t="str">
        <f t="shared" si="4"/>
        <v>PONGPANIT_C@su.ac.th</v>
      </c>
    </row>
    <row r="85" spans="1:6">
      <c r="A85" s="8" t="s">
        <v>298</v>
      </c>
      <c r="E85" s="12" t="str">
        <f t="shared" si="3"/>
        <v>PHOSRINAK</v>
      </c>
      <c r="F85" s="13" t="str">
        <f t="shared" si="4"/>
        <v>PHOSRINAK_Y@su.ac.th</v>
      </c>
    </row>
    <row r="86" spans="1:6">
      <c r="A86" s="8" t="s">
        <v>299</v>
      </c>
      <c r="E86" s="12" t="str">
        <f t="shared" si="3"/>
        <v>NAMSUWAN</v>
      </c>
      <c r="F86" s="13" t="str">
        <f t="shared" si="4"/>
        <v>NAMSUWAN_N@su.ac.th</v>
      </c>
    </row>
    <row r="87" spans="1:6">
      <c r="A87" s="8" t="s">
        <v>300</v>
      </c>
      <c r="E87" s="12" t="str">
        <f>LEFT(A87, FIND("_", A87)-1)</f>
        <v>PHOTHIRA</v>
      </c>
      <c r="F87" s="13" t="str">
        <f t="shared" si="4"/>
        <v>PHOTHIRA_N@su.ac.th</v>
      </c>
    </row>
    <row r="88" spans="1:6">
      <c r="A88" s="8" t="s">
        <v>301</v>
      </c>
      <c r="E88" s="12" t="str">
        <f t="shared" si="3"/>
        <v>SIBUPHIMPHA</v>
      </c>
      <c r="F88" s="13" t="str">
        <f t="shared" si="4"/>
        <v>SIBUPHIMPHA_N@su.ac.th</v>
      </c>
    </row>
    <row r="89" spans="1:6">
      <c r="A89" s="8" t="s">
        <v>302</v>
      </c>
      <c r="E89" s="12" t="str">
        <f t="shared" si="3"/>
        <v>WONGPENSOOK</v>
      </c>
      <c r="F89" s="13" t="str">
        <f t="shared" si="4"/>
        <v>WONGPENSOOK_N@su.ac.th</v>
      </c>
    </row>
    <row r="90" spans="1:6">
      <c r="A90" s="8" t="s">
        <v>303</v>
      </c>
      <c r="E90" s="12" t="str">
        <f t="shared" si="3"/>
        <v>KAEWMANEEWONG</v>
      </c>
      <c r="F90" s="13" t="str">
        <f t="shared" si="4"/>
        <v>KAEWMANEEWONG_N@su.ac.th</v>
      </c>
    </row>
    <row r="91" spans="1:6">
      <c r="A91" s="8" t="s">
        <v>304</v>
      </c>
      <c r="E91" s="12" t="str">
        <f t="shared" si="3"/>
        <v>CHAMNANCHAN</v>
      </c>
      <c r="F91" s="13" t="str">
        <f t="shared" si="4"/>
        <v>CHAMNANCHAN_N@su.ac.th</v>
      </c>
    </row>
    <row r="92" spans="1:6">
      <c r="A92" s="8" t="s">
        <v>305</v>
      </c>
      <c r="E92" s="12" t="str">
        <f t="shared" si="3"/>
        <v>KANJANANIJ</v>
      </c>
      <c r="F92" s="13" t="str">
        <f t="shared" si="4"/>
        <v>KANJANANIJ_N@su.ac.th</v>
      </c>
    </row>
    <row r="93" spans="1:6">
      <c r="A93" s="8" t="s">
        <v>306</v>
      </c>
      <c r="E93" s="12" t="str">
        <f t="shared" si="3"/>
        <v>KOSAKUL</v>
      </c>
      <c r="F93" s="13" t="str">
        <f t="shared" si="4"/>
        <v>KOSAKUL_D@su.ac.th</v>
      </c>
    </row>
    <row r="94" spans="1:6">
      <c r="A94" s="8" t="s">
        <v>307</v>
      </c>
      <c r="E94" s="12" t="str">
        <f t="shared" si="3"/>
        <v>SONGKAJIN</v>
      </c>
      <c r="F94" s="13" t="str">
        <f t="shared" si="4"/>
        <v>SONGKAJIN_T@su.ac.th</v>
      </c>
    </row>
    <row r="95" spans="1:6">
      <c r="A95" s="8" t="s">
        <v>308</v>
      </c>
      <c r="E95" s="12" t="str">
        <f t="shared" si="3"/>
        <v>SEENUANNA</v>
      </c>
      <c r="F95" s="13" t="str">
        <f t="shared" si="4"/>
        <v>SEENUANNA_T@su.ac.th</v>
      </c>
    </row>
    <row r="96" spans="1:6">
      <c r="A96" s="8" t="s">
        <v>309</v>
      </c>
      <c r="E96" s="12" t="str">
        <f t="shared" si="3"/>
        <v>WANNAWONG</v>
      </c>
      <c r="F96" s="13" t="str">
        <f t="shared" si="4"/>
        <v>WANNAWONG_T2@su.ac.th</v>
      </c>
    </row>
    <row r="97" spans="1:6">
      <c r="A97" s="8" t="s">
        <v>310</v>
      </c>
      <c r="E97" s="12" t="str">
        <f t="shared" si="3"/>
        <v>KASSATHANANUKUL</v>
      </c>
      <c r="F97" s="13" t="str">
        <f t="shared" si="4"/>
        <v>KASSATHANANUKUL_T@su.ac.th</v>
      </c>
    </row>
    <row r="98" spans="1:6">
      <c r="A98" s="8" t="s">
        <v>311</v>
      </c>
      <c r="E98" s="12" t="str">
        <f t="shared" si="3"/>
        <v>SEKSANTISAKUL</v>
      </c>
      <c r="F98" s="13" t="str">
        <f t="shared" si="4"/>
        <v>SEKSANTISAKUL_T@su.ac.th</v>
      </c>
    </row>
    <row r="99" spans="1:6">
      <c r="A99" s="8" t="s">
        <v>312</v>
      </c>
      <c r="E99" s="12" t="str">
        <f t="shared" si="3"/>
        <v>HOMNAN</v>
      </c>
      <c r="F99" s="13" t="str">
        <f t="shared" si="4"/>
        <v>HOMNAN_T@su.ac.th</v>
      </c>
    </row>
    <row r="100" spans="1:6">
      <c r="A100" s="8" t="s">
        <v>313</v>
      </c>
      <c r="E100" s="12" t="str">
        <f t="shared" si="3"/>
        <v>PALAKAWONGNAAYU</v>
      </c>
      <c r="F100" s="13" t="str">
        <f t="shared" si="4"/>
        <v>PALAKAWONGNAAYU_N@su.ac.th</v>
      </c>
    </row>
    <row r="101" spans="1:6">
      <c r="A101" s="8" t="s">
        <v>314</v>
      </c>
      <c r="E101" s="12" t="str">
        <f t="shared" si="3"/>
        <v>SAWADCHERD</v>
      </c>
      <c r="F101" s="13" t="str">
        <f t="shared" si="4"/>
        <v>SAWADCHERD_N@su.ac.th</v>
      </c>
    </row>
    <row r="102" spans="1:6">
      <c r="A102" s="8" t="s">
        <v>315</v>
      </c>
      <c r="E102" s="12" t="str">
        <f t="shared" si="3"/>
        <v>KOPATTRA</v>
      </c>
      <c r="F102" s="13" t="str">
        <f t="shared" si="4"/>
        <v>KOPATTRA_N@su.ac.th</v>
      </c>
    </row>
    <row r="103" spans="1:6">
      <c r="A103" s="8" t="s">
        <v>316</v>
      </c>
      <c r="E103" s="12" t="str">
        <f t="shared" si="3"/>
        <v>RAKPETCH</v>
      </c>
      <c r="F103" s="13" t="str">
        <f t="shared" si="4"/>
        <v>RAKPETCH_N@su.ac.th</v>
      </c>
    </row>
    <row r="104" spans="1:6">
      <c r="A104" s="8" t="s">
        <v>317</v>
      </c>
      <c r="E104" s="12" t="str">
        <f t="shared" si="3"/>
        <v>THAMMACHOT</v>
      </c>
      <c r="F104" s="13" t="str">
        <f t="shared" si="4"/>
        <v>THAMMACHOT_B@su.ac.th</v>
      </c>
    </row>
    <row r="105" spans="1:6">
      <c r="A105" s="8" t="s">
        <v>318</v>
      </c>
      <c r="E105" s="12" t="str">
        <f t="shared" si="3"/>
        <v>SAEPUENG</v>
      </c>
      <c r="F105" s="13" t="str">
        <f t="shared" si="4"/>
        <v>SAEPUENG_B@su.ac.th</v>
      </c>
    </row>
    <row r="106" spans="1:6">
      <c r="A106" s="8" t="s">
        <v>319</v>
      </c>
      <c r="E106" s="12" t="str">
        <f t="shared" si="3"/>
        <v>NOIDEE</v>
      </c>
      <c r="F106" s="13" t="str">
        <f t="shared" si="4"/>
        <v>NOIDEE_P@su.ac.th</v>
      </c>
    </row>
    <row r="107" spans="1:6">
      <c r="A107" s="8" t="s">
        <v>320</v>
      </c>
      <c r="E107" s="12" t="str">
        <f>LEFT(A107, FIND("_", A107)-1)</f>
        <v>PAKMOEI</v>
      </c>
      <c r="F107" s="13" t="str">
        <f t="shared" si="4"/>
        <v>PAKMOEI_P@su.ac.th</v>
      </c>
    </row>
    <row r="108" spans="1:6">
      <c r="A108" s="8" t="s">
        <v>321</v>
      </c>
      <c r="E108" s="12" t="str">
        <f t="shared" si="3"/>
        <v>SANGUANBOON</v>
      </c>
      <c r="F108" s="13" t="str">
        <f t="shared" si="4"/>
        <v>SANGUANBOON_P@su.ac.th</v>
      </c>
    </row>
    <row r="109" spans="1:6">
      <c r="A109" s="8" t="s">
        <v>322</v>
      </c>
      <c r="E109" s="12" t="str">
        <f t="shared" si="3"/>
        <v>MAENGRAK</v>
      </c>
      <c r="F109" s="13" t="str">
        <f t="shared" si="4"/>
        <v>MAENGRAK_P@su.ac.th</v>
      </c>
    </row>
    <row r="110" spans="1:6">
      <c r="A110" s="8" t="s">
        <v>323</v>
      </c>
      <c r="E110" s="12" t="str">
        <f t="shared" si="3"/>
        <v>WATTANAWAROT</v>
      </c>
      <c r="F110" s="13" t="str">
        <f t="shared" si="4"/>
        <v>WATTANAWAROT_P@su.ac.th</v>
      </c>
    </row>
    <row r="111" spans="1:6">
      <c r="A111" s="8" t="s">
        <v>324</v>
      </c>
      <c r="E111" s="12" t="str">
        <f t="shared" si="3"/>
        <v>ONDEEKUL</v>
      </c>
      <c r="F111" s="13" t="str">
        <f t="shared" si="4"/>
        <v>ONDEEKUL_P@su.ac.th</v>
      </c>
    </row>
    <row r="112" spans="1:6">
      <c r="A112" s="8" t="s">
        <v>325</v>
      </c>
      <c r="E112" s="12" t="str">
        <f t="shared" si="3"/>
        <v>INTASIN</v>
      </c>
      <c r="F112" s="13" t="str">
        <f t="shared" si="4"/>
        <v>INTASIN_P@su.ac.th</v>
      </c>
    </row>
    <row r="113" spans="1:6">
      <c r="A113" s="8" t="s">
        <v>326</v>
      </c>
      <c r="E113" s="12" t="str">
        <f t="shared" si="3"/>
        <v>SAMAIKAEO</v>
      </c>
      <c r="F113" s="13" t="str">
        <f t="shared" si="4"/>
        <v>SAMAIKAEO_P@su.ac.th</v>
      </c>
    </row>
    <row r="114" spans="1:6">
      <c r="A114" s="8" t="s">
        <v>327</v>
      </c>
      <c r="E114" s="12" t="str">
        <f t="shared" si="3"/>
        <v>MANEERAT</v>
      </c>
      <c r="F114" s="13" t="str">
        <f t="shared" si="4"/>
        <v>MANEERAT_P8@su.ac.th</v>
      </c>
    </row>
    <row r="115" spans="1:6">
      <c r="A115" s="8" t="s">
        <v>328</v>
      </c>
      <c r="E115" s="12" t="str">
        <f t="shared" si="3"/>
        <v>SUKSAWADNAMCHOK</v>
      </c>
      <c r="F115" s="13" t="str">
        <f t="shared" si="4"/>
        <v>SUKSAWADNAMCHOK_M@su.ac.th</v>
      </c>
    </row>
    <row r="116" spans="1:6">
      <c r="A116" s="8" t="s">
        <v>329</v>
      </c>
      <c r="E116" s="12" t="str">
        <f t="shared" ref="E116:E126" si="5">LEFT(A116, FIND("_", A116)-1)</f>
        <v>INTHONGCHAI</v>
      </c>
      <c r="F116" s="13" t="str">
        <f t="shared" si="4"/>
        <v>INTHONGCHAI_R@su.ac.th</v>
      </c>
    </row>
    <row r="117" spans="1:6">
      <c r="A117" s="8" t="s">
        <v>330</v>
      </c>
      <c r="E117" s="12" t="str">
        <f t="shared" si="5"/>
        <v>THIANGKUN</v>
      </c>
      <c r="F117" s="13" t="str">
        <f t="shared" si="4"/>
        <v>THIANGKUN_L@su.ac.th</v>
      </c>
    </row>
    <row r="118" spans="1:6">
      <c r="A118" s="8" t="s">
        <v>331</v>
      </c>
      <c r="E118" s="12" t="str">
        <f t="shared" si="5"/>
        <v>SUKPHUANG</v>
      </c>
      <c r="F118" s="13" t="str">
        <f t="shared" si="4"/>
        <v>SUKPHUANG_W@su.ac.th</v>
      </c>
    </row>
    <row r="119" spans="1:6">
      <c r="A119" s="8" t="s">
        <v>332</v>
      </c>
      <c r="E119" s="12" t="str">
        <f t="shared" si="5"/>
        <v>LOONLAH</v>
      </c>
      <c r="F119" s="13" t="str">
        <f t="shared" si="4"/>
        <v>LOONLAH_W@su.ac.th</v>
      </c>
    </row>
    <row r="120" spans="1:6">
      <c r="A120" s="8" t="s">
        <v>333</v>
      </c>
      <c r="E120" s="12" t="str">
        <f t="shared" si="5"/>
        <v>PORNTHANASIRIWO</v>
      </c>
      <c r="F120" s="13" t="str">
        <f t="shared" si="4"/>
        <v>PORNTHANASIRIWO_S@su.ac.th</v>
      </c>
    </row>
    <row r="121" spans="1:6">
      <c r="A121" s="8" t="s">
        <v>334</v>
      </c>
      <c r="E121" s="12" t="str">
        <f t="shared" si="5"/>
        <v>SAKUNSRIPHAISAN</v>
      </c>
      <c r="F121" s="13" t="str">
        <f t="shared" si="4"/>
        <v>SAKUNSRIPHAISAN_S@su.ac.th</v>
      </c>
    </row>
    <row r="122" spans="1:6">
      <c r="A122" s="8" t="s">
        <v>335</v>
      </c>
      <c r="E122" s="12" t="str">
        <f t="shared" si="5"/>
        <v>NENPITAK</v>
      </c>
      <c r="F122" s="13" t="str">
        <f t="shared" si="4"/>
        <v>NENPITAK_S@su.ac.th</v>
      </c>
    </row>
    <row r="123" spans="1:6">
      <c r="A123" s="8" t="s">
        <v>336</v>
      </c>
      <c r="E123" s="12" t="str">
        <f t="shared" si="5"/>
        <v>PEIMNGAM</v>
      </c>
      <c r="F123" s="13" t="str">
        <f t="shared" si="4"/>
        <v>PEIMNGAM_S@su.ac.th</v>
      </c>
    </row>
    <row r="124" spans="1:6">
      <c r="A124" s="8" t="s">
        <v>337</v>
      </c>
      <c r="E124" s="12" t="str">
        <f t="shared" si="5"/>
        <v>POODCHAIJONGDEE</v>
      </c>
      <c r="F124" s="13" t="str">
        <f t="shared" si="4"/>
        <v>POODCHAIJONGDEE_S@su.ac.th</v>
      </c>
    </row>
    <row r="125" spans="1:6">
      <c r="A125" s="8" t="s">
        <v>338</v>
      </c>
      <c r="E125" s="12" t="str">
        <f t="shared" si="5"/>
        <v>SUKPOON</v>
      </c>
      <c r="F125" s="13" t="str">
        <f t="shared" si="4"/>
        <v>SUKPOON_S@su.ac.th</v>
      </c>
    </row>
    <row r="126" spans="1:6">
      <c r="A126" s="8" t="s">
        <v>339</v>
      </c>
      <c r="E126" s="12" t="str">
        <f t="shared" si="5"/>
        <v>PRAMUNSIN</v>
      </c>
      <c r="F126" s="13" t="str">
        <f t="shared" si="4"/>
        <v>PRAMUNSIN_S@su.ac.th</v>
      </c>
    </row>
    <row r="127" spans="1:6">
      <c r="A127" s="8" t="s">
        <v>340</v>
      </c>
      <c r="E127" s="12" t="str">
        <f>LEFT(A127, FIND("_", A127)-1)</f>
        <v>KEAWPHILA</v>
      </c>
      <c r="F127" s="13" t="str">
        <f t="shared" si="4"/>
        <v>KEAWPHILA_S@su.ac.th</v>
      </c>
    </row>
    <row r="128" spans="1:6">
      <c r="A128" s="8" t="s">
        <v>341</v>
      </c>
      <c r="E128" s="12" t="str">
        <f t="shared" ref="E128:E134" si="6">LEFT(A128, FIND("_", A128)-1)</f>
        <v>DACHCONG</v>
      </c>
      <c r="F128" s="13" t="str">
        <f t="shared" si="4"/>
        <v>DACHCONG_A@su.ac.th</v>
      </c>
    </row>
    <row r="129" spans="1:6">
      <c r="A129" s="8" t="s">
        <v>342</v>
      </c>
      <c r="E129" s="12" t="str">
        <f t="shared" si="6"/>
        <v>KLAMKLOMJIT</v>
      </c>
      <c r="F129" s="13" t="str">
        <f t="shared" si="4"/>
        <v>KLAMKLOMJIT_A@su.ac.th</v>
      </c>
    </row>
    <row r="130" spans="1:6">
      <c r="A130" s="8" t="s">
        <v>343</v>
      </c>
      <c r="E130" s="12" t="str">
        <f t="shared" si="6"/>
        <v>ANEKSAN</v>
      </c>
      <c r="F130" s="13" t="str">
        <f t="shared" si="4"/>
        <v>ANEKSAN_O@su.ac.th</v>
      </c>
    </row>
    <row r="131" spans="1:6">
      <c r="A131" s="8" t="s">
        <v>344</v>
      </c>
      <c r="E131" s="12" t="str">
        <f t="shared" si="6"/>
        <v>KHAMPINIT</v>
      </c>
      <c r="F131" s="13" t="str">
        <f t="shared" si="4"/>
        <v>KHAMPINIT_J@su.ac.th</v>
      </c>
    </row>
    <row r="132" spans="1:6">
      <c r="A132" s="8" t="s">
        <v>345</v>
      </c>
      <c r="E132" s="12" t="str">
        <f t="shared" si="6"/>
        <v>SOMBOONPORN</v>
      </c>
      <c r="F132" s="13" t="str">
        <f t="shared" ref="F132:F134" si="7">SUBSTITUTE(A132, "@SILPAKORN.EDU", "@su.ac.th")</f>
        <v>SOMBOONPORN_N@su.ac.th</v>
      </c>
    </row>
    <row r="133" spans="1:6">
      <c r="A133" s="8" t="s">
        <v>346</v>
      </c>
      <c r="E133" s="12" t="str">
        <f t="shared" si="6"/>
        <v>KATON</v>
      </c>
      <c r="F133" s="13" t="str">
        <f t="shared" si="7"/>
        <v>KATON_N@su.ac.th</v>
      </c>
    </row>
    <row r="134" spans="1:6">
      <c r="A134" s="8" t="s">
        <v>347</v>
      </c>
      <c r="E134" s="12" t="str">
        <f t="shared" si="6"/>
        <v>LIENGCHAROENSAP</v>
      </c>
      <c r="F134" s="13" t="str">
        <f t="shared" si="7"/>
        <v>LIENGCHAROENSAP_P@su.ac.th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2E4C33-7E05-451B-A3DA-99D82CA1D4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Q1_VLOOKUP</vt:lpstr>
      <vt:lpstr>Q2_SUM</vt:lpstr>
      <vt:lpstr>Q3_VLOOKUP</vt:lpstr>
      <vt:lpstr>Q4_COUNTIF</vt:lpstr>
      <vt:lpstr>Q5_LEFT_FINE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Bhupha Palasuk</dc:creator>
  <cp:lastModifiedBy>Bhupha Palasuk</cp:lastModifiedBy>
  <dcterms:created xsi:type="dcterms:W3CDTF">2026-03-21T14:31:07Z</dcterms:created>
  <dcterms:modified xsi:type="dcterms:W3CDTF">2026-06-12T05:05:21Z</dcterms:modified>
</cp:coreProperties>
</file>