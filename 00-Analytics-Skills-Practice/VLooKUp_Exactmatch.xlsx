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Excel_analyst\"/>
    </mc:Choice>
  </mc:AlternateContent>
  <xr:revisionPtr revIDLastSave="0" documentId="13_ncr:1_{53F5563F-6A01-4B4D-91E4-967338359255}" xr6:coauthVersionLast="47" xr6:coauthVersionMax="47" xr10:uidLastSave="{00000000-0000-0000-0000-000000000000}"/>
  <bookViews>
    <workbookView xWindow="-103" yWindow="-103" windowWidth="24892" windowHeight="14914" xr2:uid="{1844331D-38A9-49FB-95D9-A87648B0137E}"/>
  </bookViews>
  <sheets>
    <sheet name="VlooKUp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3" i="2"/>
  <c r="I3" i="2"/>
  <c r="H4" i="1"/>
  <c r="F4" i="1"/>
</calcChain>
</file>

<file path=xl/sharedStrings.xml><?xml version="1.0" encoding="utf-8"?>
<sst xmlns="http://schemas.openxmlformats.org/spreadsheetml/2006/main" count="341" uniqueCount="260">
  <si>
    <t>XXS</t>
  </si>
  <si>
    <t>extra extra small</t>
  </si>
  <si>
    <t>XS</t>
  </si>
  <si>
    <t>extra small</t>
  </si>
  <si>
    <t>S</t>
  </si>
  <si>
    <t>small</t>
  </si>
  <si>
    <t>medium</t>
  </si>
  <si>
    <t>M</t>
  </si>
  <si>
    <t>L</t>
  </si>
  <si>
    <t>large</t>
  </si>
  <si>
    <t>XL</t>
  </si>
  <si>
    <t>extra large</t>
  </si>
  <si>
    <t>XXL</t>
  </si>
  <si>
    <t>extra extra large</t>
  </si>
  <si>
    <t>If</t>
  </si>
  <si>
    <t>VLookUp + Exact match</t>
  </si>
  <si>
    <t>ตัวย่อ</t>
  </si>
  <si>
    <t>ชื่อไทย</t>
  </si>
  <si>
    <t>ชื่ออังกฤษ</t>
  </si>
  <si>
    <t>ภาค</t>
  </si>
  <si>
    <t>นม</t>
  </si>
  <si>
    <t>นครราชสีมา</t>
  </si>
  <si>
    <t>Nakhon Ratchasima</t>
  </si>
  <si>
    <t>NE</t>
  </si>
  <si>
    <t>ตะวันออกเฉียงเหนือ</t>
  </si>
  <si>
    <t>ชม</t>
  </si>
  <si>
    <t>เชียงใหม่</t>
  </si>
  <si>
    <t>Chiang Mai</t>
  </si>
  <si>
    <t>N</t>
  </si>
  <si>
    <t>กจ</t>
  </si>
  <si>
    <t>กาญจนบุรี</t>
  </si>
  <si>
    <t>Kanchanaburi</t>
  </si>
  <si>
    <t>C</t>
  </si>
  <si>
    <t>กลาง</t>
  </si>
  <si>
    <t>ตก</t>
  </si>
  <si>
    <t>ตาก</t>
  </si>
  <si>
    <t>Tak</t>
  </si>
  <si>
    <t>อบ</t>
  </si>
  <si>
    <t>อุบลราชธานี</t>
  </si>
  <si>
    <t>Ubon Ratchathani</t>
  </si>
  <si>
    <t>สฎ</t>
  </si>
  <si>
    <t>สุราษฎร์ธานี</t>
  </si>
  <si>
    <t>Surat Thani</t>
  </si>
  <si>
    <t>ใต้</t>
  </si>
  <si>
    <t>ชย</t>
  </si>
  <si>
    <t>ชัยภูมิ</t>
  </si>
  <si>
    <t>Chaiyaphum</t>
  </si>
  <si>
    <t>มส</t>
  </si>
  <si>
    <t>แม่ฮ่องสอน</t>
  </si>
  <si>
    <t>Mae Hong Son</t>
  </si>
  <si>
    <t>พช</t>
  </si>
  <si>
    <t>เพชรบูรณ์</t>
  </si>
  <si>
    <t>Phetchabun</t>
  </si>
  <si>
    <t>ลป</t>
  </si>
  <si>
    <t>ลำปาง</t>
  </si>
  <si>
    <t>Lampang</t>
  </si>
  <si>
    <t>อด</t>
  </si>
  <si>
    <t>อุดรธานี</t>
  </si>
  <si>
    <t>Udon Thani</t>
  </si>
  <si>
    <t>ชร</t>
  </si>
  <si>
    <t>เชียงราย</t>
  </si>
  <si>
    <t>Chiang Rai</t>
  </si>
  <si>
    <t>นน</t>
  </si>
  <si>
    <t>น่าน</t>
  </si>
  <si>
    <t>Nan</t>
  </si>
  <si>
    <t>ลย</t>
  </si>
  <si>
    <t>เลย</t>
  </si>
  <si>
    <t>Loei</t>
  </si>
  <si>
    <t>ขก</t>
  </si>
  <si>
    <t>ขอนแก่น</t>
  </si>
  <si>
    <t>Khon Kaen</t>
  </si>
  <si>
    <t>พล</t>
  </si>
  <si>
    <t>พิษณุโลก</t>
  </si>
  <si>
    <t>Phitsanulok</t>
  </si>
  <si>
    <t>บร</t>
  </si>
  <si>
    <t>บุรีรัมย์</t>
  </si>
  <si>
    <t>Buri Ram</t>
  </si>
  <si>
    <t>นศ</t>
  </si>
  <si>
    <t>นครศรีธรรมราช</t>
  </si>
  <si>
    <t>Nakhon Si Thammarat</t>
  </si>
  <si>
    <t>สน</t>
  </si>
  <si>
    <t>สกลนคร</t>
  </si>
  <si>
    <t>Sakon Nakhon</t>
  </si>
  <si>
    <t>นว</t>
  </si>
  <si>
    <t>นครสวรรค์</t>
  </si>
  <si>
    <t>Nakhon Sawan</t>
  </si>
  <si>
    <t>ศก</t>
  </si>
  <si>
    <t>ศรีสะเกษ</t>
  </si>
  <si>
    <t>Si Sa Ket</t>
  </si>
  <si>
    <t>กพ</t>
  </si>
  <si>
    <t>กำแพงเพชร</t>
  </si>
  <si>
    <t>Kamphaeng Phet</t>
  </si>
  <si>
    <t>รอ</t>
  </si>
  <si>
    <t>ร้อยเอ็ด</t>
  </si>
  <si>
    <t>Roi Et</t>
  </si>
  <si>
    <t>สร</t>
  </si>
  <si>
    <t>สุรินทร์</t>
  </si>
  <si>
    <t>Surin</t>
  </si>
  <si>
    <t>อต</t>
  </si>
  <si>
    <t>อุตรดิตถ์</t>
  </si>
  <si>
    <t>Uttaradit</t>
  </si>
  <si>
    <t>สข</t>
  </si>
  <si>
    <t>สงขลา</t>
  </si>
  <si>
    <t>Songkhla</t>
  </si>
  <si>
    <t>นค</t>
  </si>
  <si>
    <t>หนองคาย</t>
  </si>
  <si>
    <t>Nong Khai</t>
  </si>
  <si>
    <t>สก</t>
  </si>
  <si>
    <t>สระแก้ว</t>
  </si>
  <si>
    <t>Sa Kaeo</t>
  </si>
  <si>
    <t>กส</t>
  </si>
  <si>
    <t>กาฬสินธุ์</t>
  </si>
  <si>
    <t>Kalasin</t>
  </si>
  <si>
    <t>อน</t>
  </si>
  <si>
    <t>อุทัยธานี</t>
  </si>
  <si>
    <t>Uthai Thani</t>
  </si>
  <si>
    <t>สท</t>
  </si>
  <si>
    <t>สุโขทัย</t>
  </si>
  <si>
    <t>Sukhothai</t>
  </si>
  <si>
    <t>พร</t>
  </si>
  <si>
    <t>แพร่</t>
  </si>
  <si>
    <t>Phrae</t>
  </si>
  <si>
    <t>ปข</t>
  </si>
  <si>
    <t>ประจวบคีรีขันธ์</t>
  </si>
  <si>
    <t>Prachuap Khiri Khan</t>
  </si>
  <si>
    <t>จบ</t>
  </si>
  <si>
    <t>จันทบุรี</t>
  </si>
  <si>
    <t>Chanthaburi</t>
  </si>
  <si>
    <t>พย</t>
  </si>
  <si>
    <t>พะเยา</t>
  </si>
  <si>
    <t>Phayao</t>
  </si>
  <si>
    <t>พบ</t>
  </si>
  <si>
    <t>เพชรบุรี</t>
  </si>
  <si>
    <t>Phetchaburi</t>
  </si>
  <si>
    <t>ลบ</t>
  </si>
  <si>
    <t>ลพบุรี</t>
  </si>
  <si>
    <t>Lop Buri</t>
  </si>
  <si>
    <t>ชพ</t>
  </si>
  <si>
    <t>ชุมพร</t>
  </si>
  <si>
    <t>Chumphon</t>
  </si>
  <si>
    <t>นพ</t>
  </si>
  <si>
    <t>นครพนม</t>
  </si>
  <si>
    <t>Nakhon Phanom</t>
  </si>
  <si>
    <t>สพ</t>
  </si>
  <si>
    <t>สุพรรณบุรี</t>
  </si>
  <si>
    <t>Suphan Buri</t>
  </si>
  <si>
    <t>ฉช</t>
  </si>
  <si>
    <t>ฉะเชิงเทรา</t>
  </si>
  <si>
    <t>Chachoengsao</t>
  </si>
  <si>
    <t>มค</t>
  </si>
  <si>
    <t>มหาสารคาม</t>
  </si>
  <si>
    <t>Maha Sarakham</t>
  </si>
  <si>
    <t>รบ</t>
  </si>
  <si>
    <t>ราชบุรี</t>
  </si>
  <si>
    <t>Ratchaburi</t>
  </si>
  <si>
    <t>ตง</t>
  </si>
  <si>
    <t>ตรัง</t>
  </si>
  <si>
    <t>Trang</t>
  </si>
  <si>
    <t>ปจ</t>
  </si>
  <si>
    <t>ปราจีนบุรี</t>
  </si>
  <si>
    <t>Prachin Buri</t>
  </si>
  <si>
    <t>กบ</t>
  </si>
  <si>
    <t>กระบี่</t>
  </si>
  <si>
    <t>Krabi</t>
  </si>
  <si>
    <t>ชบ</t>
  </si>
  <si>
    <t>ชลบุรี</t>
  </si>
  <si>
    <t>Chon Buri</t>
  </si>
  <si>
    <t>พจ</t>
  </si>
  <si>
    <t>พิจิตร</t>
  </si>
  <si>
    <t>Phichit</t>
  </si>
  <si>
    <t>ยล</t>
  </si>
  <si>
    <t>ยะลา</t>
  </si>
  <si>
    <t>Yala</t>
  </si>
  <si>
    <t>ลพ</t>
  </si>
  <si>
    <t>ลำพูน</t>
  </si>
  <si>
    <t>Lamphun</t>
  </si>
  <si>
    <t>นธ</t>
  </si>
  <si>
    <t>นราธิวาส</t>
  </si>
  <si>
    <t>Narathiwat</t>
  </si>
  <si>
    <t>มห</t>
  </si>
  <si>
    <t>มุกดาหาร</t>
  </si>
  <si>
    <t>Mukdahan</t>
  </si>
  <si>
    <t>บก</t>
  </si>
  <si>
    <t>บึงกาฬ</t>
  </si>
  <si>
    <t>Bueng Kan</t>
  </si>
  <si>
    <t>พง</t>
  </si>
  <si>
    <t>พังงา</t>
  </si>
  <si>
    <t>Phangnga</t>
  </si>
  <si>
    <t>ยส</t>
  </si>
  <si>
    <t>ยโสธร</t>
  </si>
  <si>
    <t>Yasothon</t>
  </si>
  <si>
    <t>นภ</t>
  </si>
  <si>
    <t>หนองบัวลำภู</t>
  </si>
  <si>
    <t>Nong Bua Lam Phu</t>
  </si>
  <si>
    <t>สบ</t>
  </si>
  <si>
    <t>สระบุรี</t>
  </si>
  <si>
    <t>Saraburi</t>
  </si>
  <si>
    <t>รย</t>
  </si>
  <si>
    <t>ระยอง</t>
  </si>
  <si>
    <t>Rayong</t>
  </si>
  <si>
    <t>พท</t>
  </si>
  <si>
    <t>พัทลุง</t>
  </si>
  <si>
    <t>Phatthalung</t>
  </si>
  <si>
    <t>รน</t>
  </si>
  <si>
    <t>ระนอง</t>
  </si>
  <si>
    <t>Ranong</t>
  </si>
  <si>
    <t>อจ</t>
  </si>
  <si>
    <t>อำนาจเจริญ</t>
  </si>
  <si>
    <t>Amnat Charoen</t>
  </si>
  <si>
    <t>ตร</t>
  </si>
  <si>
    <t>ตราด</t>
  </si>
  <si>
    <t>Trat</t>
  </si>
  <si>
    <t>อย</t>
  </si>
  <si>
    <t>พระนครศรีอยุธยา</t>
  </si>
  <si>
    <t>Phra Nakhon Si Ayutthaya</t>
  </si>
  <si>
    <t>สต</t>
  </si>
  <si>
    <t>สตูล</t>
  </si>
  <si>
    <t>Satun</t>
  </si>
  <si>
    <t>ชน</t>
  </si>
  <si>
    <t>ชัยนาท</t>
  </si>
  <si>
    <t>Chai Nat</t>
  </si>
  <si>
    <t>นฐ</t>
  </si>
  <si>
    <t>นครปฐม</t>
  </si>
  <si>
    <t>Nakhon Pathom</t>
  </si>
  <si>
    <t>นย</t>
  </si>
  <si>
    <t>นครนายก</t>
  </si>
  <si>
    <t>Nakhon Nayok</t>
  </si>
  <si>
    <t>ปน</t>
  </si>
  <si>
    <t>ปัตตานี</t>
  </si>
  <si>
    <t>Pattani</t>
  </si>
  <si>
    <t>กทม</t>
  </si>
  <si>
    <t>กรุงเทพมหานคร</t>
  </si>
  <si>
    <t>Krung Thep Maha Nakhon</t>
  </si>
  <si>
    <t>ปท</t>
  </si>
  <si>
    <t>ปทุมธานี</t>
  </si>
  <si>
    <t>Pathum Thani</t>
  </si>
  <si>
    <t>สป</t>
  </si>
  <si>
    <t>สมุทรปราการ</t>
  </si>
  <si>
    <t>Samut Prakan</t>
  </si>
  <si>
    <t>อท</t>
  </si>
  <si>
    <t>อ่างทอง</t>
  </si>
  <si>
    <t>Ang Thong</t>
  </si>
  <si>
    <t>สค</t>
  </si>
  <si>
    <t>สมุทรสาคร</t>
  </si>
  <si>
    <t>Samut Sakhon</t>
  </si>
  <si>
    <t>สห</t>
  </si>
  <si>
    <t>สิงห์บุรี</t>
  </si>
  <si>
    <t>Sing Buri</t>
  </si>
  <si>
    <t>นบ</t>
  </si>
  <si>
    <t>นนทบุรี</t>
  </si>
  <si>
    <t>Nonthaburi</t>
  </si>
  <si>
    <t>ภก</t>
  </si>
  <si>
    <t>ภูเก็ต</t>
  </si>
  <si>
    <t>Phuket</t>
  </si>
  <si>
    <t>สส</t>
  </si>
  <si>
    <t>สมุทรสงคราม</t>
  </si>
  <si>
    <t>Samut Songkhram</t>
  </si>
  <si>
    <t xml:space="preserve">เหนือ </t>
  </si>
  <si>
    <t>ภาค(TH)</t>
  </si>
  <si>
    <t>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</si>
</sst>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charset val="22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1F497D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Tahoma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07D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F79646"/>
      </top>
      <bottom/>
      <diagonal/>
    </border>
    <border>
      <left/>
      <right/>
      <top/>
      <bottom style="medium">
        <color rgb="FF95B3D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wrapText="1"/>
    </xf>
    <xf numFmtId="0" fontId="1" fillId="6" borderId="1" xfId="0" applyFont="1" applyFill="1" applyBorder="1" applyAlignment="1">
      <alignment wrapText="1"/>
    </xf>
    <xf numFmtId="0" fontId="1" fillId="6" borderId="0" xfId="0" applyFont="1" applyFill="1" applyAlignment="1">
      <alignment wrapText="1"/>
    </xf>
    <xf numFmtId="0" fontId="2" fillId="8" borderId="0" xfId="0" applyFont="1" applyFill="1" applyAlignment="1">
      <alignment wrapText="1"/>
    </xf>
    <xf numFmtId="0" fontId="2" fillId="7" borderId="0" xfId="0" applyFont="1" applyFill="1" applyAlignment="1">
      <alignment wrapText="1"/>
    </xf>
    <xf numFmtId="0" fontId="1" fillId="0" borderId="0" xfId="0" applyFont="1" applyAlignment="1">
      <alignment vertical="top" wrapText="1"/>
    </xf>
    <xf numFmtId="0" fontId="0" fillId="3" borderId="0" xfId="0" applyFill="1"/>
    <xf numFmtId="0" fontId="0" fillId="7" borderId="0" xfId="0" applyFill="1"/>
    <xf numFmtId="0" fontId="3" fillId="5" borderId="2" xfId="0" applyFont="1" applyFill="1" applyBorder="1" applyAlignment="1">
      <alignment vertical="top" wrapText="1"/>
    </xf>
    <xf numFmtId="0" fontId="3" fillId="9" borderId="2" xfId="0" applyFont="1" applyFill="1" applyBorder="1" applyAlignment="1">
      <alignment vertical="top" wrapText="1"/>
    </xf>
    <xf numFmtId="0" fontId="3" fillId="10" borderId="2" xfId="0" applyFont="1" applyFill="1" applyBorder="1" applyAlignment="1">
      <alignment vertical="top" wrapText="1"/>
    </xf>
    <xf numFmtId="0" fontId="3" fillId="11" borderId="2" xfId="0" applyFont="1" applyFill="1" applyBorder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5" fillId="12" borderId="0" xfId="0" applyFont="1" applyFill="1"/>
    <xf numFmtId="0" fontId="4" fillId="1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0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B6013-6342-4877-ADAB-678B255FA411}">
  <dimension ref="B1:H8"/>
  <sheetViews>
    <sheetView tabSelected="1" zoomScale="130" zoomScaleNormal="130" workbookViewId="0">
      <selection activeCell="G12" sqref="G12"/>
    </sheetView>
  </sheetViews>
  <sheetFormatPr defaultRowHeight="13.75" x14ac:dyDescent="0.3"/>
  <cols>
    <col min="5" max="5" width="5.2109375" customWidth="1"/>
    <col min="6" max="6" width="9.5703125" customWidth="1"/>
    <col min="8" max="8" width="21.35546875" customWidth="1"/>
  </cols>
  <sheetData>
    <row r="1" spans="2:8" ht="14.15" thickBot="1" x14ac:dyDescent="0.35"/>
    <row r="2" spans="2:8" ht="14.6" x14ac:dyDescent="0.4">
      <c r="B2" s="6" t="s">
        <v>0</v>
      </c>
      <c r="C2" s="4" t="s">
        <v>1</v>
      </c>
      <c r="D2" s="1"/>
      <c r="E2" s="1"/>
      <c r="F2" s="1"/>
      <c r="G2" s="1"/>
      <c r="H2" s="1"/>
    </row>
    <row r="3" spans="2:8" ht="14.6" x14ac:dyDescent="0.4">
      <c r="B3" s="7" t="s">
        <v>2</v>
      </c>
      <c r="C3" s="5" t="s">
        <v>3</v>
      </c>
      <c r="D3" s="1"/>
      <c r="E3" s="1"/>
      <c r="F3" s="8" t="s">
        <v>14</v>
      </c>
      <c r="G3" s="1"/>
      <c r="H3" s="9" t="s">
        <v>15</v>
      </c>
    </row>
    <row r="4" spans="2:8" ht="16.3" customHeight="1" x14ac:dyDescent="0.4">
      <c r="B4" s="7" t="s">
        <v>4</v>
      </c>
      <c r="C4" s="5" t="s">
        <v>5</v>
      </c>
      <c r="D4" s="1"/>
      <c r="E4" s="1" t="s">
        <v>259</v>
      </c>
      <c r="F4" s="2" t="str">
        <f>IF(E4=B2,C2,IF(E4=B3,C3,IF(E4=B4,C4,IF(E4=B5,C5,IF(E4=B6,C6,IF(E4=B7,C7,C8))))))</f>
        <v>extra extra large</v>
      </c>
      <c r="G4" s="1"/>
      <c r="H4" s="3" t="str">
        <f>VLOOKUP(E4,B2:C8,2,FALSE)</f>
        <v>extra extra large</v>
      </c>
    </row>
    <row r="5" spans="2:8" ht="14.6" x14ac:dyDescent="0.4">
      <c r="B5" s="7" t="s">
        <v>7</v>
      </c>
      <c r="C5" s="5" t="s">
        <v>6</v>
      </c>
      <c r="D5" s="1"/>
      <c r="E5" s="1"/>
      <c r="F5" s="1"/>
      <c r="G5" s="1"/>
      <c r="H5" s="1"/>
    </row>
    <row r="6" spans="2:8" ht="14.6" x14ac:dyDescent="0.4">
      <c r="B6" s="7" t="s">
        <v>8</v>
      </c>
      <c r="C6" s="5" t="s">
        <v>9</v>
      </c>
      <c r="D6" s="1"/>
      <c r="E6" s="1"/>
      <c r="F6" s="1"/>
      <c r="G6" s="1"/>
      <c r="H6" s="1"/>
    </row>
    <row r="7" spans="2:8" ht="14.6" x14ac:dyDescent="0.4">
      <c r="B7" s="7" t="s">
        <v>10</v>
      </c>
      <c r="C7" s="5" t="s">
        <v>11</v>
      </c>
      <c r="D7" s="1"/>
      <c r="E7" s="1"/>
      <c r="F7" s="1"/>
      <c r="G7" s="1"/>
      <c r="H7" s="1"/>
    </row>
    <row r="8" spans="2:8" ht="14.6" x14ac:dyDescent="0.4">
      <c r="B8" s="7" t="s">
        <v>12</v>
      </c>
      <c r="C8" s="4" t="s">
        <v>13</v>
      </c>
      <c r="D8" s="1"/>
      <c r="E8" s="1"/>
      <c r="F8" s="1"/>
      <c r="G8" s="1"/>
      <c r="H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61D1-AA3D-4F94-8A38-852465130DC3}">
  <dimension ref="B1:I79"/>
  <sheetViews>
    <sheetView workbookViewId="0">
      <selection activeCell="K12" sqref="K12"/>
    </sheetView>
  </sheetViews>
  <sheetFormatPr defaultRowHeight="13.75" x14ac:dyDescent="0.3"/>
  <cols>
    <col min="2" max="2" width="8.5703125" customWidth="1"/>
    <col min="3" max="3" width="18.42578125" customWidth="1"/>
    <col min="4" max="4" width="22.0703125" customWidth="1"/>
    <col min="5" max="5" width="8" customWidth="1"/>
    <col min="6" max="6" width="23.78515625" bestFit="1" customWidth="1"/>
    <col min="9" max="9" width="20.85546875" bestFit="1" customWidth="1"/>
  </cols>
  <sheetData>
    <row r="1" spans="2:9" x14ac:dyDescent="0.3">
      <c r="F1" s="19" t="s">
        <v>15</v>
      </c>
    </row>
    <row r="2" spans="2:9" ht="15" thickBot="1" x14ac:dyDescent="0.35">
      <c r="B2" s="13" t="s">
        <v>16</v>
      </c>
      <c r="C2" s="14" t="s">
        <v>17</v>
      </c>
      <c r="D2" s="15" t="s">
        <v>18</v>
      </c>
      <c r="E2" s="16" t="s">
        <v>19</v>
      </c>
      <c r="F2" s="20" t="s">
        <v>258</v>
      </c>
      <c r="I2" s="12" t="s">
        <v>15</v>
      </c>
    </row>
    <row r="3" spans="2:9" ht="14.6" x14ac:dyDescent="0.3">
      <c r="B3" s="10" t="s">
        <v>20</v>
      </c>
      <c r="C3" s="10" t="s">
        <v>21</v>
      </c>
      <c r="D3" s="10" t="s">
        <v>22</v>
      </c>
      <c r="E3" s="10" t="s">
        <v>23</v>
      </c>
      <c r="F3" s="10" t="str">
        <f t="shared" ref="F3:F34" si="0">VLOOKUP(E3,$H$5:$I$8,2,FALSE)</f>
        <v>ตะวันออกเฉียงเหนือ</v>
      </c>
      <c r="H3" s="10" t="s">
        <v>110</v>
      </c>
      <c r="I3" s="11" t="str">
        <f>VLOOKUP(H3,B3:D79,2,FALSE)</f>
        <v>กาฬสินธุ์</v>
      </c>
    </row>
    <row r="4" spans="2:9" ht="14.6" x14ac:dyDescent="0.3">
      <c r="B4" s="10" t="s">
        <v>25</v>
      </c>
      <c r="C4" s="10" t="s">
        <v>26</v>
      </c>
      <c r="D4" s="10" t="s">
        <v>27</v>
      </c>
      <c r="E4" s="10" t="s">
        <v>28</v>
      </c>
      <c r="F4" s="10" t="str">
        <f t="shared" si="0"/>
        <v xml:space="preserve">เหนือ </v>
      </c>
    </row>
    <row r="5" spans="2:9" ht="14.6" x14ac:dyDescent="0.3">
      <c r="B5" s="10" t="s">
        <v>29</v>
      </c>
      <c r="C5" s="10" t="s">
        <v>30</v>
      </c>
      <c r="D5" s="10" t="s">
        <v>31</v>
      </c>
      <c r="E5" s="10" t="s">
        <v>32</v>
      </c>
      <c r="F5" s="10" t="str">
        <f t="shared" si="0"/>
        <v>กลาง</v>
      </c>
      <c r="H5" s="18" t="s">
        <v>32</v>
      </c>
      <c r="I5" s="17" t="s">
        <v>33</v>
      </c>
    </row>
    <row r="6" spans="2:9" ht="14.6" x14ac:dyDescent="0.3">
      <c r="B6" s="10" t="s">
        <v>34</v>
      </c>
      <c r="C6" s="10" t="s">
        <v>35</v>
      </c>
      <c r="D6" s="10" t="s">
        <v>36</v>
      </c>
      <c r="E6" s="10" t="s">
        <v>28</v>
      </c>
      <c r="F6" s="10" t="str">
        <f t="shared" si="0"/>
        <v xml:space="preserve">เหนือ </v>
      </c>
      <c r="H6" s="18" t="s">
        <v>28</v>
      </c>
      <c r="I6" s="17" t="s">
        <v>257</v>
      </c>
    </row>
    <row r="7" spans="2:9" ht="14.6" x14ac:dyDescent="0.3">
      <c r="B7" s="10" t="s">
        <v>37</v>
      </c>
      <c r="C7" s="10" t="s">
        <v>38</v>
      </c>
      <c r="D7" s="10" t="s">
        <v>39</v>
      </c>
      <c r="E7" s="10" t="s">
        <v>23</v>
      </c>
      <c r="F7" s="10" t="str">
        <f t="shared" si="0"/>
        <v>ตะวันออกเฉียงเหนือ</v>
      </c>
      <c r="H7" s="18" t="s">
        <v>4</v>
      </c>
      <c r="I7" s="17" t="s">
        <v>43</v>
      </c>
    </row>
    <row r="8" spans="2:9" ht="14.6" x14ac:dyDescent="0.3">
      <c r="B8" s="10" t="s">
        <v>40</v>
      </c>
      <c r="C8" s="10" t="s">
        <v>41</v>
      </c>
      <c r="D8" s="10" t="s">
        <v>42</v>
      </c>
      <c r="E8" s="10" t="s">
        <v>4</v>
      </c>
      <c r="F8" s="10" t="str">
        <f t="shared" si="0"/>
        <v>ใต้</v>
      </c>
      <c r="H8" s="18" t="s">
        <v>23</v>
      </c>
      <c r="I8" s="17" t="s">
        <v>24</v>
      </c>
    </row>
    <row r="9" spans="2:9" ht="14.6" x14ac:dyDescent="0.3">
      <c r="B9" s="10" t="s">
        <v>44</v>
      </c>
      <c r="C9" s="10" t="s">
        <v>45</v>
      </c>
      <c r="D9" s="10" t="s">
        <v>46</v>
      </c>
      <c r="E9" s="10" t="s">
        <v>23</v>
      </c>
      <c r="F9" s="10" t="str">
        <f t="shared" si="0"/>
        <v>ตะวันออกเฉียงเหนือ</v>
      </c>
    </row>
    <row r="10" spans="2:9" ht="14.6" x14ac:dyDescent="0.3">
      <c r="B10" s="10" t="s">
        <v>47</v>
      </c>
      <c r="C10" s="10" t="s">
        <v>48</v>
      </c>
      <c r="D10" s="10" t="s">
        <v>49</v>
      </c>
      <c r="E10" s="10" t="s">
        <v>28</v>
      </c>
      <c r="F10" s="10" t="str">
        <f t="shared" si="0"/>
        <v xml:space="preserve">เหนือ </v>
      </c>
    </row>
    <row r="11" spans="2:9" ht="14.6" x14ac:dyDescent="0.3">
      <c r="B11" s="10" t="s">
        <v>50</v>
      </c>
      <c r="C11" s="10" t="s">
        <v>51</v>
      </c>
      <c r="D11" s="10" t="s">
        <v>52</v>
      </c>
      <c r="E11" s="10" t="s">
        <v>28</v>
      </c>
      <c r="F11" s="10" t="str">
        <f t="shared" si="0"/>
        <v xml:space="preserve">เหนือ </v>
      </c>
    </row>
    <row r="12" spans="2:9" ht="14.6" x14ac:dyDescent="0.3">
      <c r="B12" s="10" t="s">
        <v>53</v>
      </c>
      <c r="C12" s="10" t="s">
        <v>54</v>
      </c>
      <c r="D12" s="10" t="s">
        <v>55</v>
      </c>
      <c r="E12" s="10" t="s">
        <v>28</v>
      </c>
      <c r="F12" s="10" t="str">
        <f t="shared" si="0"/>
        <v xml:space="preserve">เหนือ </v>
      </c>
    </row>
    <row r="13" spans="2:9" ht="14.6" x14ac:dyDescent="0.3">
      <c r="B13" s="10" t="s">
        <v>56</v>
      </c>
      <c r="C13" s="10" t="s">
        <v>57</v>
      </c>
      <c r="D13" s="10" t="s">
        <v>58</v>
      </c>
      <c r="E13" s="10" t="s">
        <v>23</v>
      </c>
      <c r="F13" s="10" t="str">
        <f t="shared" si="0"/>
        <v>ตะวันออกเฉียงเหนือ</v>
      </c>
    </row>
    <row r="14" spans="2:9" ht="14.6" x14ac:dyDescent="0.3">
      <c r="B14" s="10" t="s">
        <v>59</v>
      </c>
      <c r="C14" s="10" t="s">
        <v>60</v>
      </c>
      <c r="D14" s="10" t="s">
        <v>61</v>
      </c>
      <c r="E14" s="10" t="s">
        <v>28</v>
      </c>
      <c r="F14" s="10" t="str">
        <f t="shared" si="0"/>
        <v xml:space="preserve">เหนือ </v>
      </c>
    </row>
    <row r="15" spans="2:9" ht="14.6" x14ac:dyDescent="0.3">
      <c r="B15" s="10" t="s">
        <v>62</v>
      </c>
      <c r="C15" s="10" t="s">
        <v>63</v>
      </c>
      <c r="D15" s="10" t="s">
        <v>64</v>
      </c>
      <c r="E15" s="10" t="s">
        <v>28</v>
      </c>
      <c r="F15" s="10" t="str">
        <f t="shared" si="0"/>
        <v xml:space="preserve">เหนือ </v>
      </c>
    </row>
    <row r="16" spans="2:9" ht="14.6" x14ac:dyDescent="0.3">
      <c r="B16" s="10" t="s">
        <v>65</v>
      </c>
      <c r="C16" s="10" t="s">
        <v>66</v>
      </c>
      <c r="D16" s="10" t="s">
        <v>67</v>
      </c>
      <c r="E16" s="10" t="s">
        <v>23</v>
      </c>
      <c r="F16" s="10" t="str">
        <f t="shared" si="0"/>
        <v>ตะวันออกเฉียงเหนือ</v>
      </c>
    </row>
    <row r="17" spans="2:6" ht="14.6" x14ac:dyDescent="0.3">
      <c r="B17" s="10" t="s">
        <v>68</v>
      </c>
      <c r="C17" s="10" t="s">
        <v>69</v>
      </c>
      <c r="D17" s="10" t="s">
        <v>70</v>
      </c>
      <c r="E17" s="10" t="s">
        <v>23</v>
      </c>
      <c r="F17" s="10" t="str">
        <f t="shared" si="0"/>
        <v>ตะวันออกเฉียงเหนือ</v>
      </c>
    </row>
    <row r="18" spans="2:6" ht="14.6" x14ac:dyDescent="0.3">
      <c r="B18" s="10" t="s">
        <v>71</v>
      </c>
      <c r="C18" s="10" t="s">
        <v>72</v>
      </c>
      <c r="D18" s="10" t="s">
        <v>73</v>
      </c>
      <c r="E18" s="10" t="s">
        <v>28</v>
      </c>
      <c r="F18" s="10" t="str">
        <f t="shared" si="0"/>
        <v xml:space="preserve">เหนือ </v>
      </c>
    </row>
    <row r="19" spans="2:6" ht="14.6" x14ac:dyDescent="0.3">
      <c r="B19" s="10" t="s">
        <v>74</v>
      </c>
      <c r="C19" s="10" t="s">
        <v>75</v>
      </c>
      <c r="D19" s="10" t="s">
        <v>76</v>
      </c>
      <c r="E19" s="10" t="s">
        <v>23</v>
      </c>
      <c r="F19" s="10" t="str">
        <f t="shared" si="0"/>
        <v>ตะวันออกเฉียงเหนือ</v>
      </c>
    </row>
    <row r="20" spans="2:6" ht="14.6" x14ac:dyDescent="0.3">
      <c r="B20" s="10" t="s">
        <v>77</v>
      </c>
      <c r="C20" s="10" t="s">
        <v>78</v>
      </c>
      <c r="D20" s="10" t="s">
        <v>79</v>
      </c>
      <c r="E20" s="10" t="s">
        <v>4</v>
      </c>
      <c r="F20" s="10" t="str">
        <f t="shared" si="0"/>
        <v>ใต้</v>
      </c>
    </row>
    <row r="21" spans="2:6" ht="14.6" x14ac:dyDescent="0.3">
      <c r="B21" s="10" t="s">
        <v>80</v>
      </c>
      <c r="C21" s="10" t="s">
        <v>81</v>
      </c>
      <c r="D21" s="10" t="s">
        <v>82</v>
      </c>
      <c r="E21" s="10" t="s">
        <v>23</v>
      </c>
      <c r="F21" s="10" t="str">
        <f t="shared" si="0"/>
        <v>ตะวันออกเฉียงเหนือ</v>
      </c>
    </row>
    <row r="22" spans="2:6" ht="14.6" x14ac:dyDescent="0.3">
      <c r="B22" s="10" t="s">
        <v>83</v>
      </c>
      <c r="C22" s="10" t="s">
        <v>84</v>
      </c>
      <c r="D22" s="10" t="s">
        <v>85</v>
      </c>
      <c r="E22" s="10" t="s">
        <v>28</v>
      </c>
      <c r="F22" s="10" t="str">
        <f t="shared" si="0"/>
        <v xml:space="preserve">เหนือ </v>
      </c>
    </row>
    <row r="23" spans="2:6" ht="14.6" x14ac:dyDescent="0.3">
      <c r="B23" s="10" t="s">
        <v>86</v>
      </c>
      <c r="C23" s="10" t="s">
        <v>87</v>
      </c>
      <c r="D23" s="10" t="s">
        <v>88</v>
      </c>
      <c r="E23" s="10" t="s">
        <v>23</v>
      </c>
      <c r="F23" s="10" t="str">
        <f t="shared" si="0"/>
        <v>ตะวันออกเฉียงเหนือ</v>
      </c>
    </row>
    <row r="24" spans="2:6" ht="14.6" x14ac:dyDescent="0.3">
      <c r="B24" s="10" t="s">
        <v>89</v>
      </c>
      <c r="C24" s="10" t="s">
        <v>90</v>
      </c>
      <c r="D24" s="10" t="s">
        <v>91</v>
      </c>
      <c r="E24" s="10" t="s">
        <v>28</v>
      </c>
      <c r="F24" s="10" t="str">
        <f t="shared" si="0"/>
        <v xml:space="preserve">เหนือ </v>
      </c>
    </row>
    <row r="25" spans="2:6" ht="14.6" x14ac:dyDescent="0.3">
      <c r="B25" s="10" t="s">
        <v>92</v>
      </c>
      <c r="C25" s="10" t="s">
        <v>93</v>
      </c>
      <c r="D25" s="10" t="s">
        <v>94</v>
      </c>
      <c r="E25" s="10" t="s">
        <v>23</v>
      </c>
      <c r="F25" s="10" t="str">
        <f t="shared" si="0"/>
        <v>ตะวันออกเฉียงเหนือ</v>
      </c>
    </row>
    <row r="26" spans="2:6" ht="14.6" x14ac:dyDescent="0.3">
      <c r="B26" s="10" t="s">
        <v>95</v>
      </c>
      <c r="C26" s="10" t="s">
        <v>96</v>
      </c>
      <c r="D26" s="10" t="s">
        <v>97</v>
      </c>
      <c r="E26" s="10" t="s">
        <v>23</v>
      </c>
      <c r="F26" s="10" t="str">
        <f t="shared" si="0"/>
        <v>ตะวันออกเฉียงเหนือ</v>
      </c>
    </row>
    <row r="27" spans="2:6" ht="14.6" x14ac:dyDescent="0.3">
      <c r="B27" s="10" t="s">
        <v>98</v>
      </c>
      <c r="C27" s="10" t="s">
        <v>99</v>
      </c>
      <c r="D27" s="10" t="s">
        <v>100</v>
      </c>
      <c r="E27" s="10" t="s">
        <v>28</v>
      </c>
      <c r="F27" s="10" t="str">
        <f t="shared" si="0"/>
        <v xml:space="preserve">เหนือ </v>
      </c>
    </row>
    <row r="28" spans="2:6" ht="14.6" x14ac:dyDescent="0.3">
      <c r="B28" s="10" t="s">
        <v>101</v>
      </c>
      <c r="C28" s="10" t="s">
        <v>102</v>
      </c>
      <c r="D28" s="10" t="s">
        <v>103</v>
      </c>
      <c r="E28" s="10" t="s">
        <v>4</v>
      </c>
      <c r="F28" s="10" t="str">
        <f t="shared" si="0"/>
        <v>ใต้</v>
      </c>
    </row>
    <row r="29" spans="2:6" ht="14.6" x14ac:dyDescent="0.3">
      <c r="B29" s="10" t="s">
        <v>104</v>
      </c>
      <c r="C29" s="10" t="s">
        <v>105</v>
      </c>
      <c r="D29" s="10" t="s">
        <v>106</v>
      </c>
      <c r="E29" s="10" t="s">
        <v>23</v>
      </c>
      <c r="F29" s="10" t="str">
        <f t="shared" si="0"/>
        <v>ตะวันออกเฉียงเหนือ</v>
      </c>
    </row>
    <row r="30" spans="2:6" ht="14.6" x14ac:dyDescent="0.3">
      <c r="B30" s="10" t="s">
        <v>107</v>
      </c>
      <c r="C30" s="10" t="s">
        <v>108</v>
      </c>
      <c r="D30" s="10" t="s">
        <v>109</v>
      </c>
      <c r="E30" s="10" t="s">
        <v>32</v>
      </c>
      <c r="F30" s="10" t="str">
        <f t="shared" si="0"/>
        <v>กลาง</v>
      </c>
    </row>
    <row r="31" spans="2:6" ht="14.6" x14ac:dyDescent="0.3">
      <c r="B31" s="10" t="s">
        <v>110</v>
      </c>
      <c r="C31" s="10" t="s">
        <v>111</v>
      </c>
      <c r="D31" s="10" t="s">
        <v>112</v>
      </c>
      <c r="E31" s="10" t="s">
        <v>23</v>
      </c>
      <c r="F31" s="10" t="str">
        <f t="shared" si="0"/>
        <v>ตะวันออกเฉียงเหนือ</v>
      </c>
    </row>
    <row r="32" spans="2:6" ht="14.6" x14ac:dyDescent="0.3">
      <c r="B32" s="10" t="s">
        <v>113</v>
      </c>
      <c r="C32" s="10" t="s">
        <v>114</v>
      </c>
      <c r="D32" s="10" t="s">
        <v>115</v>
      </c>
      <c r="E32" s="10" t="s">
        <v>28</v>
      </c>
      <c r="F32" s="10" t="str">
        <f t="shared" si="0"/>
        <v xml:space="preserve">เหนือ </v>
      </c>
    </row>
    <row r="33" spans="2:6" ht="14.6" x14ac:dyDescent="0.3">
      <c r="B33" s="10" t="s">
        <v>116</v>
      </c>
      <c r="C33" s="10" t="s">
        <v>117</v>
      </c>
      <c r="D33" s="10" t="s">
        <v>118</v>
      </c>
      <c r="E33" s="10" t="s">
        <v>28</v>
      </c>
      <c r="F33" s="10" t="str">
        <f t="shared" si="0"/>
        <v xml:space="preserve">เหนือ </v>
      </c>
    </row>
    <row r="34" spans="2:6" ht="14.6" x14ac:dyDescent="0.3">
      <c r="B34" s="10" t="s">
        <v>119</v>
      </c>
      <c r="C34" s="10" t="s">
        <v>120</v>
      </c>
      <c r="D34" s="10" t="s">
        <v>121</v>
      </c>
      <c r="E34" s="10" t="s">
        <v>28</v>
      </c>
      <c r="F34" s="10" t="str">
        <f t="shared" si="0"/>
        <v xml:space="preserve">เหนือ </v>
      </c>
    </row>
    <row r="35" spans="2:6" ht="14.6" x14ac:dyDescent="0.3">
      <c r="B35" s="10" t="s">
        <v>122</v>
      </c>
      <c r="C35" s="10" t="s">
        <v>123</v>
      </c>
      <c r="D35" s="10" t="s">
        <v>124</v>
      </c>
      <c r="E35" s="10" t="s">
        <v>32</v>
      </c>
      <c r="F35" s="10" t="str">
        <f t="shared" ref="F35:F66" si="1">VLOOKUP(E35,$H$5:$I$8,2,FALSE)</f>
        <v>กลาง</v>
      </c>
    </row>
    <row r="36" spans="2:6" ht="14.6" x14ac:dyDescent="0.3">
      <c r="B36" s="10" t="s">
        <v>125</v>
      </c>
      <c r="C36" s="10" t="s">
        <v>126</v>
      </c>
      <c r="D36" s="10" t="s">
        <v>127</v>
      </c>
      <c r="E36" s="10" t="s">
        <v>32</v>
      </c>
      <c r="F36" s="10" t="str">
        <f t="shared" si="1"/>
        <v>กลาง</v>
      </c>
    </row>
    <row r="37" spans="2:6" ht="14.6" x14ac:dyDescent="0.3">
      <c r="B37" s="10" t="s">
        <v>128</v>
      </c>
      <c r="C37" s="10" t="s">
        <v>129</v>
      </c>
      <c r="D37" s="10" t="s">
        <v>130</v>
      </c>
      <c r="E37" s="10" t="s">
        <v>28</v>
      </c>
      <c r="F37" s="10" t="str">
        <f t="shared" si="1"/>
        <v xml:space="preserve">เหนือ </v>
      </c>
    </row>
    <row r="38" spans="2:6" ht="14.6" x14ac:dyDescent="0.3">
      <c r="B38" s="10" t="s">
        <v>131</v>
      </c>
      <c r="C38" s="10" t="s">
        <v>132</v>
      </c>
      <c r="D38" s="10" t="s">
        <v>133</v>
      </c>
      <c r="E38" s="10" t="s">
        <v>32</v>
      </c>
      <c r="F38" s="10" t="str">
        <f t="shared" si="1"/>
        <v>กลาง</v>
      </c>
    </row>
    <row r="39" spans="2:6" ht="14.6" x14ac:dyDescent="0.3">
      <c r="B39" s="10" t="s">
        <v>134</v>
      </c>
      <c r="C39" s="10" t="s">
        <v>135</v>
      </c>
      <c r="D39" s="10" t="s">
        <v>136</v>
      </c>
      <c r="E39" s="10" t="s">
        <v>32</v>
      </c>
      <c r="F39" s="10" t="str">
        <f t="shared" si="1"/>
        <v>กลาง</v>
      </c>
    </row>
    <row r="40" spans="2:6" ht="14.6" x14ac:dyDescent="0.3">
      <c r="B40" s="10" t="s">
        <v>137</v>
      </c>
      <c r="C40" s="10" t="s">
        <v>138</v>
      </c>
      <c r="D40" s="10" t="s">
        <v>139</v>
      </c>
      <c r="E40" s="10" t="s">
        <v>4</v>
      </c>
      <c r="F40" s="10" t="str">
        <f t="shared" si="1"/>
        <v>ใต้</v>
      </c>
    </row>
    <row r="41" spans="2:6" ht="14.6" x14ac:dyDescent="0.3">
      <c r="B41" s="10" t="s">
        <v>140</v>
      </c>
      <c r="C41" s="10" t="s">
        <v>141</v>
      </c>
      <c r="D41" s="10" t="s">
        <v>142</v>
      </c>
      <c r="E41" s="10" t="s">
        <v>23</v>
      </c>
      <c r="F41" s="10" t="str">
        <f t="shared" si="1"/>
        <v>ตะวันออกเฉียงเหนือ</v>
      </c>
    </row>
    <row r="42" spans="2:6" ht="14.6" x14ac:dyDescent="0.3">
      <c r="B42" s="10" t="s">
        <v>143</v>
      </c>
      <c r="C42" s="10" t="s">
        <v>144</v>
      </c>
      <c r="D42" s="10" t="s">
        <v>145</v>
      </c>
      <c r="E42" s="10" t="s">
        <v>32</v>
      </c>
      <c r="F42" s="10" t="str">
        <f t="shared" si="1"/>
        <v>กลาง</v>
      </c>
    </row>
    <row r="43" spans="2:6" ht="14.6" x14ac:dyDescent="0.3">
      <c r="B43" s="10" t="s">
        <v>146</v>
      </c>
      <c r="C43" s="10" t="s">
        <v>147</v>
      </c>
      <c r="D43" s="10" t="s">
        <v>148</v>
      </c>
      <c r="E43" s="10" t="s">
        <v>32</v>
      </c>
      <c r="F43" s="10" t="str">
        <f t="shared" si="1"/>
        <v>กลาง</v>
      </c>
    </row>
    <row r="44" spans="2:6" ht="14.6" x14ac:dyDescent="0.3">
      <c r="B44" s="10" t="s">
        <v>149</v>
      </c>
      <c r="C44" s="10" t="s">
        <v>150</v>
      </c>
      <c r="D44" s="10" t="s">
        <v>151</v>
      </c>
      <c r="E44" s="10" t="s">
        <v>23</v>
      </c>
      <c r="F44" s="10" t="str">
        <f t="shared" si="1"/>
        <v>ตะวันออกเฉียงเหนือ</v>
      </c>
    </row>
    <row r="45" spans="2:6" ht="14.6" x14ac:dyDescent="0.3">
      <c r="B45" s="10" t="s">
        <v>152</v>
      </c>
      <c r="C45" s="10" t="s">
        <v>153</v>
      </c>
      <c r="D45" s="10" t="s">
        <v>154</v>
      </c>
      <c r="E45" s="10" t="s">
        <v>32</v>
      </c>
      <c r="F45" s="10" t="str">
        <f t="shared" si="1"/>
        <v>กลาง</v>
      </c>
    </row>
    <row r="46" spans="2:6" ht="14.6" x14ac:dyDescent="0.3">
      <c r="B46" s="10" t="s">
        <v>155</v>
      </c>
      <c r="C46" s="10" t="s">
        <v>156</v>
      </c>
      <c r="D46" s="10" t="s">
        <v>157</v>
      </c>
      <c r="E46" s="10" t="s">
        <v>4</v>
      </c>
      <c r="F46" s="10" t="str">
        <f t="shared" si="1"/>
        <v>ใต้</v>
      </c>
    </row>
    <row r="47" spans="2:6" ht="14.6" x14ac:dyDescent="0.3">
      <c r="B47" s="10" t="s">
        <v>158</v>
      </c>
      <c r="C47" s="10" t="s">
        <v>159</v>
      </c>
      <c r="D47" s="10" t="s">
        <v>160</v>
      </c>
      <c r="E47" s="10" t="s">
        <v>32</v>
      </c>
      <c r="F47" s="10" t="str">
        <f t="shared" si="1"/>
        <v>กลาง</v>
      </c>
    </row>
    <row r="48" spans="2:6" ht="14.6" x14ac:dyDescent="0.3">
      <c r="B48" s="10" t="s">
        <v>161</v>
      </c>
      <c r="C48" s="10" t="s">
        <v>162</v>
      </c>
      <c r="D48" s="10" t="s">
        <v>163</v>
      </c>
      <c r="E48" s="10" t="s">
        <v>4</v>
      </c>
      <c r="F48" s="10" t="str">
        <f t="shared" si="1"/>
        <v>ใต้</v>
      </c>
    </row>
    <row r="49" spans="2:6" ht="14.6" x14ac:dyDescent="0.3">
      <c r="B49" s="10" t="s">
        <v>164</v>
      </c>
      <c r="C49" s="10" t="s">
        <v>165</v>
      </c>
      <c r="D49" s="10" t="s">
        <v>166</v>
      </c>
      <c r="E49" s="10" t="s">
        <v>32</v>
      </c>
      <c r="F49" s="10" t="str">
        <f t="shared" si="1"/>
        <v>กลาง</v>
      </c>
    </row>
    <row r="50" spans="2:6" ht="14.6" x14ac:dyDescent="0.3">
      <c r="B50" s="10" t="s">
        <v>167</v>
      </c>
      <c r="C50" s="10" t="s">
        <v>168</v>
      </c>
      <c r="D50" s="10" t="s">
        <v>169</v>
      </c>
      <c r="E50" s="10" t="s">
        <v>28</v>
      </c>
      <c r="F50" s="10" t="str">
        <f t="shared" si="1"/>
        <v xml:space="preserve">เหนือ </v>
      </c>
    </row>
    <row r="51" spans="2:6" ht="14.6" x14ac:dyDescent="0.3">
      <c r="B51" s="10" t="s">
        <v>170</v>
      </c>
      <c r="C51" s="10" t="s">
        <v>171</v>
      </c>
      <c r="D51" s="10" t="s">
        <v>172</v>
      </c>
      <c r="E51" s="10" t="s">
        <v>4</v>
      </c>
      <c r="F51" s="10" t="str">
        <f t="shared" si="1"/>
        <v>ใต้</v>
      </c>
    </row>
    <row r="52" spans="2:6" ht="14.6" x14ac:dyDescent="0.3">
      <c r="B52" s="10" t="s">
        <v>173</v>
      </c>
      <c r="C52" s="10" t="s">
        <v>174</v>
      </c>
      <c r="D52" s="10" t="s">
        <v>175</v>
      </c>
      <c r="E52" s="10" t="s">
        <v>28</v>
      </c>
      <c r="F52" s="10" t="str">
        <f t="shared" si="1"/>
        <v xml:space="preserve">เหนือ </v>
      </c>
    </row>
    <row r="53" spans="2:6" ht="14.6" x14ac:dyDescent="0.3">
      <c r="B53" s="10" t="s">
        <v>176</v>
      </c>
      <c r="C53" s="10" t="s">
        <v>177</v>
      </c>
      <c r="D53" s="10" t="s">
        <v>178</v>
      </c>
      <c r="E53" s="10" t="s">
        <v>4</v>
      </c>
      <c r="F53" s="10" t="str">
        <f t="shared" si="1"/>
        <v>ใต้</v>
      </c>
    </row>
    <row r="54" spans="2:6" ht="14.6" x14ac:dyDescent="0.3">
      <c r="B54" s="10" t="s">
        <v>179</v>
      </c>
      <c r="C54" s="10" t="s">
        <v>180</v>
      </c>
      <c r="D54" s="10" t="s">
        <v>181</v>
      </c>
      <c r="E54" s="10" t="s">
        <v>23</v>
      </c>
      <c r="F54" s="10" t="str">
        <f t="shared" si="1"/>
        <v>ตะวันออกเฉียงเหนือ</v>
      </c>
    </row>
    <row r="55" spans="2:6" ht="14.6" x14ac:dyDescent="0.3">
      <c r="B55" s="10" t="s">
        <v>182</v>
      </c>
      <c r="C55" s="10" t="s">
        <v>183</v>
      </c>
      <c r="D55" s="10" t="s">
        <v>184</v>
      </c>
      <c r="E55" s="10" t="s">
        <v>23</v>
      </c>
      <c r="F55" s="10" t="str">
        <f t="shared" si="1"/>
        <v>ตะวันออกเฉียงเหนือ</v>
      </c>
    </row>
    <row r="56" spans="2:6" ht="14.6" x14ac:dyDescent="0.3">
      <c r="B56" s="10" t="s">
        <v>185</v>
      </c>
      <c r="C56" s="10" t="s">
        <v>186</v>
      </c>
      <c r="D56" s="10" t="s">
        <v>187</v>
      </c>
      <c r="E56" s="10" t="s">
        <v>4</v>
      </c>
      <c r="F56" s="10" t="str">
        <f t="shared" si="1"/>
        <v>ใต้</v>
      </c>
    </row>
    <row r="57" spans="2:6" ht="14.6" x14ac:dyDescent="0.3">
      <c r="B57" s="10" t="s">
        <v>188</v>
      </c>
      <c r="C57" s="10" t="s">
        <v>189</v>
      </c>
      <c r="D57" s="10" t="s">
        <v>190</v>
      </c>
      <c r="E57" s="10" t="s">
        <v>23</v>
      </c>
      <c r="F57" s="10" t="str">
        <f t="shared" si="1"/>
        <v>ตะวันออกเฉียงเหนือ</v>
      </c>
    </row>
    <row r="58" spans="2:6" ht="14.6" x14ac:dyDescent="0.3">
      <c r="B58" s="10" t="s">
        <v>191</v>
      </c>
      <c r="C58" s="10" t="s">
        <v>192</v>
      </c>
      <c r="D58" s="10" t="s">
        <v>193</v>
      </c>
      <c r="E58" s="10" t="s">
        <v>23</v>
      </c>
      <c r="F58" s="10" t="str">
        <f t="shared" si="1"/>
        <v>ตะวันออกเฉียงเหนือ</v>
      </c>
    </row>
    <row r="59" spans="2:6" ht="14.6" x14ac:dyDescent="0.3">
      <c r="B59" s="10" t="s">
        <v>194</v>
      </c>
      <c r="C59" s="10" t="s">
        <v>195</v>
      </c>
      <c r="D59" s="10" t="s">
        <v>196</v>
      </c>
      <c r="E59" s="10" t="s">
        <v>32</v>
      </c>
      <c r="F59" s="10" t="str">
        <f t="shared" si="1"/>
        <v>กลาง</v>
      </c>
    </row>
    <row r="60" spans="2:6" ht="14.6" x14ac:dyDescent="0.3">
      <c r="B60" s="10" t="s">
        <v>197</v>
      </c>
      <c r="C60" s="10" t="s">
        <v>198</v>
      </c>
      <c r="D60" s="10" t="s">
        <v>199</v>
      </c>
      <c r="E60" s="10" t="s">
        <v>32</v>
      </c>
      <c r="F60" s="10" t="str">
        <f t="shared" si="1"/>
        <v>กลาง</v>
      </c>
    </row>
    <row r="61" spans="2:6" ht="14.6" x14ac:dyDescent="0.3">
      <c r="B61" s="10" t="s">
        <v>200</v>
      </c>
      <c r="C61" s="10" t="s">
        <v>201</v>
      </c>
      <c r="D61" s="10" t="s">
        <v>202</v>
      </c>
      <c r="E61" s="10" t="s">
        <v>4</v>
      </c>
      <c r="F61" s="10" t="str">
        <f t="shared" si="1"/>
        <v>ใต้</v>
      </c>
    </row>
    <row r="62" spans="2:6" ht="14.6" x14ac:dyDescent="0.3">
      <c r="B62" s="10" t="s">
        <v>203</v>
      </c>
      <c r="C62" s="10" t="s">
        <v>204</v>
      </c>
      <c r="D62" s="10" t="s">
        <v>205</v>
      </c>
      <c r="E62" s="10" t="s">
        <v>4</v>
      </c>
      <c r="F62" s="10" t="str">
        <f t="shared" si="1"/>
        <v>ใต้</v>
      </c>
    </row>
    <row r="63" spans="2:6" ht="14.6" x14ac:dyDescent="0.3">
      <c r="B63" s="10" t="s">
        <v>206</v>
      </c>
      <c r="C63" s="10" t="s">
        <v>207</v>
      </c>
      <c r="D63" s="10" t="s">
        <v>208</v>
      </c>
      <c r="E63" s="10" t="s">
        <v>23</v>
      </c>
      <c r="F63" s="10" t="str">
        <f t="shared" si="1"/>
        <v>ตะวันออกเฉียงเหนือ</v>
      </c>
    </row>
    <row r="64" spans="2:6" ht="14.6" x14ac:dyDescent="0.3">
      <c r="B64" s="10" t="s">
        <v>209</v>
      </c>
      <c r="C64" s="10" t="s">
        <v>210</v>
      </c>
      <c r="D64" s="10" t="s">
        <v>211</v>
      </c>
      <c r="E64" s="10" t="s">
        <v>32</v>
      </c>
      <c r="F64" s="10" t="str">
        <f t="shared" si="1"/>
        <v>กลาง</v>
      </c>
    </row>
    <row r="65" spans="2:6" ht="14.6" x14ac:dyDescent="0.3">
      <c r="B65" s="10" t="s">
        <v>212</v>
      </c>
      <c r="C65" s="10" t="s">
        <v>213</v>
      </c>
      <c r="D65" s="10" t="s">
        <v>214</v>
      </c>
      <c r="E65" s="10" t="s">
        <v>32</v>
      </c>
      <c r="F65" s="10" t="str">
        <f t="shared" si="1"/>
        <v>กลาง</v>
      </c>
    </row>
    <row r="66" spans="2:6" ht="14.6" x14ac:dyDescent="0.3">
      <c r="B66" s="10" t="s">
        <v>215</v>
      </c>
      <c r="C66" s="10" t="s">
        <v>216</v>
      </c>
      <c r="D66" s="10" t="s">
        <v>217</v>
      </c>
      <c r="E66" s="10" t="s">
        <v>4</v>
      </c>
      <c r="F66" s="10" t="str">
        <f t="shared" si="1"/>
        <v>ใต้</v>
      </c>
    </row>
    <row r="67" spans="2:6" ht="14.6" x14ac:dyDescent="0.3">
      <c r="B67" s="10" t="s">
        <v>218</v>
      </c>
      <c r="C67" s="10" t="s">
        <v>219</v>
      </c>
      <c r="D67" s="10" t="s">
        <v>220</v>
      </c>
      <c r="E67" s="10" t="s">
        <v>32</v>
      </c>
      <c r="F67" s="10" t="str">
        <f t="shared" ref="F67:F98" si="2">VLOOKUP(E67,$H$5:$I$8,2,FALSE)</f>
        <v>กลาง</v>
      </c>
    </row>
    <row r="68" spans="2:6" ht="14.6" x14ac:dyDescent="0.3">
      <c r="B68" s="10" t="s">
        <v>221</v>
      </c>
      <c r="C68" s="10" t="s">
        <v>222</v>
      </c>
      <c r="D68" s="10" t="s">
        <v>223</v>
      </c>
      <c r="E68" s="10" t="s">
        <v>32</v>
      </c>
      <c r="F68" s="10" t="str">
        <f t="shared" si="2"/>
        <v>กลาง</v>
      </c>
    </row>
    <row r="69" spans="2:6" ht="14.6" x14ac:dyDescent="0.3">
      <c r="B69" s="10" t="s">
        <v>224</v>
      </c>
      <c r="C69" s="10" t="s">
        <v>225</v>
      </c>
      <c r="D69" s="10" t="s">
        <v>226</v>
      </c>
      <c r="E69" s="10" t="s">
        <v>32</v>
      </c>
      <c r="F69" s="10" t="str">
        <f t="shared" si="2"/>
        <v>กลาง</v>
      </c>
    </row>
    <row r="70" spans="2:6" ht="14.6" x14ac:dyDescent="0.3">
      <c r="B70" s="10" t="s">
        <v>227</v>
      </c>
      <c r="C70" s="10" t="s">
        <v>228</v>
      </c>
      <c r="D70" s="10" t="s">
        <v>229</v>
      </c>
      <c r="E70" s="10" t="s">
        <v>4</v>
      </c>
      <c r="F70" s="10" t="str">
        <f t="shared" si="2"/>
        <v>ใต้</v>
      </c>
    </row>
    <row r="71" spans="2:6" ht="14.6" x14ac:dyDescent="0.3">
      <c r="B71" s="10" t="s">
        <v>230</v>
      </c>
      <c r="C71" s="10" t="s">
        <v>231</v>
      </c>
      <c r="D71" s="10" t="s">
        <v>232</v>
      </c>
      <c r="E71" s="10" t="s">
        <v>32</v>
      </c>
      <c r="F71" s="10" t="str">
        <f t="shared" si="2"/>
        <v>กลาง</v>
      </c>
    </row>
    <row r="72" spans="2:6" ht="14.6" x14ac:dyDescent="0.3">
      <c r="B72" s="10" t="s">
        <v>233</v>
      </c>
      <c r="C72" s="10" t="s">
        <v>234</v>
      </c>
      <c r="D72" s="10" t="s">
        <v>235</v>
      </c>
      <c r="E72" s="10" t="s">
        <v>32</v>
      </c>
      <c r="F72" s="10" t="str">
        <f t="shared" si="2"/>
        <v>กลาง</v>
      </c>
    </row>
    <row r="73" spans="2:6" ht="14.6" x14ac:dyDescent="0.3">
      <c r="B73" s="10" t="s">
        <v>236</v>
      </c>
      <c r="C73" s="10" t="s">
        <v>237</v>
      </c>
      <c r="D73" s="10" t="s">
        <v>238</v>
      </c>
      <c r="E73" s="10" t="s">
        <v>32</v>
      </c>
      <c r="F73" s="10" t="str">
        <f t="shared" si="2"/>
        <v>กลาง</v>
      </c>
    </row>
    <row r="74" spans="2:6" ht="14.6" x14ac:dyDescent="0.3">
      <c r="B74" s="10" t="s">
        <v>239</v>
      </c>
      <c r="C74" s="10" t="s">
        <v>240</v>
      </c>
      <c r="D74" s="10" t="s">
        <v>241</v>
      </c>
      <c r="E74" s="10" t="s">
        <v>32</v>
      </c>
      <c r="F74" s="10" t="str">
        <f t="shared" si="2"/>
        <v>กลาง</v>
      </c>
    </row>
    <row r="75" spans="2:6" ht="14.6" x14ac:dyDescent="0.3">
      <c r="B75" s="10" t="s">
        <v>242</v>
      </c>
      <c r="C75" s="10" t="s">
        <v>243</v>
      </c>
      <c r="D75" s="10" t="s">
        <v>244</v>
      </c>
      <c r="E75" s="10" t="s">
        <v>32</v>
      </c>
      <c r="F75" s="10" t="str">
        <f t="shared" si="2"/>
        <v>กลาง</v>
      </c>
    </row>
    <row r="76" spans="2:6" ht="14.6" x14ac:dyDescent="0.3">
      <c r="B76" s="10" t="s">
        <v>245</v>
      </c>
      <c r="C76" s="10" t="s">
        <v>246</v>
      </c>
      <c r="D76" s="10" t="s">
        <v>247</v>
      </c>
      <c r="E76" s="10" t="s">
        <v>32</v>
      </c>
      <c r="F76" s="10" t="str">
        <f t="shared" si="2"/>
        <v>กลาง</v>
      </c>
    </row>
    <row r="77" spans="2:6" ht="14.6" x14ac:dyDescent="0.3">
      <c r="B77" s="10" t="s">
        <v>248</v>
      </c>
      <c r="C77" s="10" t="s">
        <v>249</v>
      </c>
      <c r="D77" s="10" t="s">
        <v>250</v>
      </c>
      <c r="E77" s="10" t="s">
        <v>32</v>
      </c>
      <c r="F77" s="10" t="str">
        <f t="shared" si="2"/>
        <v>กลาง</v>
      </c>
    </row>
    <row r="78" spans="2:6" ht="14.6" x14ac:dyDescent="0.3">
      <c r="B78" s="10" t="s">
        <v>251</v>
      </c>
      <c r="C78" s="10" t="s">
        <v>252</v>
      </c>
      <c r="D78" s="10" t="s">
        <v>253</v>
      </c>
      <c r="E78" s="10" t="s">
        <v>4</v>
      </c>
      <c r="F78" s="10" t="str">
        <f t="shared" si="2"/>
        <v>ใต้</v>
      </c>
    </row>
    <row r="79" spans="2:6" ht="14.6" x14ac:dyDescent="0.3">
      <c r="B79" s="10" t="s">
        <v>254</v>
      </c>
      <c r="C79" s="10" t="s">
        <v>255</v>
      </c>
      <c r="D79" s="10" t="s">
        <v>256</v>
      </c>
      <c r="E79" s="10" t="s">
        <v>32</v>
      </c>
      <c r="F79" s="10" t="str">
        <f t="shared" si="2"/>
        <v>กลาง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Bhupha Palasuk</dc:creator>
  <cp:lastModifiedBy>Bhupha Palasuk</cp:lastModifiedBy>
  <dcterms:created xsi:type="dcterms:W3CDTF">2026-02-02T16:32:56Z</dcterms:created>
  <dcterms:modified xsi:type="dcterms:W3CDTF">2026-06-12T04:42:21Z</dcterms:modified>
</cp:coreProperties>
</file>