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xcel_analyst\"/>
    </mc:Choice>
  </mc:AlternateContent>
  <xr:revisionPtr revIDLastSave="0" documentId="13_ncr:1_{E58A5225-372E-48B0-BD0B-81602245C58A}" xr6:coauthVersionLast="47" xr6:coauthVersionMax="47" xr10:uidLastSave="{00000000-0000-0000-0000-000000000000}"/>
  <bookViews>
    <workbookView xWindow="0" yWindow="360" windowWidth="24891" windowHeight="14914" activeTab="1" xr2:uid="{FC94959F-25A0-43FF-A949-7E48A264E974}"/>
  </bookViews>
  <sheets>
    <sheet name="Sheet8" sheetId="10" r:id="rId1"/>
    <sheet name="Sheet1" sheetId="1" r:id="rId2"/>
    <sheet name="Gen" sheetId="2" r:id="rId3"/>
  </sheets>
  <calcPr calcId="191029"/>
  <pivotCaches>
    <pivotCache cacheId="1" r:id="rId4"/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F17" i="10"/>
  <c r="G4" i="10"/>
  <c r="G5" i="10"/>
  <c r="G6" i="10"/>
  <c r="G7" i="10"/>
  <c r="G8" i="10"/>
  <c r="G9" i="10"/>
  <c r="G10" i="10"/>
  <c r="G11" i="10"/>
  <c r="G12" i="10"/>
  <c r="G13" i="10"/>
  <c r="G14" i="10"/>
  <c r="G3" i="10"/>
  <c r="F4" i="10"/>
  <c r="F5" i="10"/>
  <c r="F6" i="10"/>
  <c r="F7" i="10"/>
  <c r="F8" i="10"/>
  <c r="F9" i="10"/>
  <c r="F10" i="10"/>
  <c r="F11" i="10"/>
  <c r="F12" i="10"/>
  <c r="F13" i="10"/>
  <c r="F14" i="10"/>
  <c r="F3" i="10"/>
  <c r="C30" i="10"/>
  <c r="B30" i="10"/>
  <c r="E15" i="10"/>
  <c r="E4" i="10"/>
  <c r="E5" i="10"/>
  <c r="E6" i="10"/>
  <c r="E7" i="10"/>
  <c r="E8" i="10"/>
  <c r="E9" i="10"/>
  <c r="E10" i="10"/>
  <c r="E11" i="10"/>
  <c r="E12" i="10"/>
  <c r="E13" i="10"/>
  <c r="E14" i="10"/>
  <c r="E3" i="10"/>
  <c r="C15" i="10"/>
  <c r="F92" i="1"/>
  <c r="D4" i="2"/>
  <c r="D5" i="2"/>
  <c r="D6" i="2"/>
  <c r="D7" i="2"/>
  <c r="D8" i="2"/>
  <c r="D9" i="2"/>
  <c r="D10" i="2"/>
  <c r="D3" i="2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61" i="1"/>
  <c r="I161" i="1" s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E17" i="1"/>
  <c r="D16" i="1"/>
  <c r="C16" i="1"/>
  <c r="E16" i="1"/>
  <c r="D19" i="1"/>
  <c r="D18" i="1"/>
  <c r="E18" i="1"/>
  <c r="C18" i="1"/>
  <c r="C17" i="1"/>
  <c r="G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27" i="1"/>
  <c r="G92" i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D77" i="1"/>
  <c r="E77" i="1" s="1"/>
  <c r="F77" i="1" s="1"/>
  <c r="M55" i="1" l="1"/>
  <c r="N55" i="1" s="1"/>
  <c r="O55" i="1" s="1"/>
  <c r="P55" i="1" s="1"/>
  <c r="Q55" i="1" s="1"/>
  <c r="R55" i="1" s="1"/>
  <c r="S55" i="1" s="1"/>
  <c r="T55" i="1" s="1"/>
  <c r="K57" i="1"/>
  <c r="K58" i="1" s="1"/>
  <c r="K59" i="1" s="1"/>
  <c r="K60" i="1" s="1"/>
  <c r="K61" i="1" s="1"/>
  <c r="K62" i="1" s="1"/>
  <c r="K63" i="1" s="1"/>
  <c r="K64" i="1" s="1"/>
  <c r="K65" i="1" s="1"/>
  <c r="H57" i="1"/>
  <c r="H58" i="1" s="1"/>
  <c r="H59" i="1" s="1"/>
  <c r="H60" i="1" s="1"/>
  <c r="H61" i="1" s="1"/>
  <c r="H62" i="1" s="1"/>
  <c r="H63" i="1" s="1"/>
  <c r="H64" i="1" s="1"/>
  <c r="H65" i="1" s="1"/>
  <c r="F57" i="1"/>
  <c r="F58" i="1" s="1"/>
  <c r="F59" i="1" s="1"/>
  <c r="F60" i="1" s="1"/>
  <c r="F61" i="1" s="1"/>
  <c r="F62" i="1" s="1"/>
  <c r="F63" i="1" s="1"/>
  <c r="F64" i="1" s="1"/>
  <c r="F65" i="1" s="1"/>
  <c r="D61" i="1"/>
  <c r="C55" i="1"/>
  <c r="C56" i="1" s="1"/>
  <c r="D64" i="1" s="1"/>
  <c r="I37" i="1"/>
  <c r="J37" i="1" s="1"/>
  <c r="K37" i="1" s="1"/>
  <c r="L37" i="1" s="1"/>
  <c r="I38" i="1"/>
  <c r="J38" i="1" s="1"/>
  <c r="K38" i="1" s="1"/>
  <c r="L38" i="1" s="1"/>
  <c r="I39" i="1"/>
  <c r="J39" i="1" s="1"/>
  <c r="K39" i="1" s="1"/>
  <c r="L39" i="1" s="1"/>
  <c r="I40" i="1"/>
  <c r="J40" i="1" s="1"/>
  <c r="K40" i="1" s="1"/>
  <c r="L40" i="1" s="1"/>
  <c r="I41" i="1"/>
  <c r="N41" i="1" s="1"/>
  <c r="O41" i="1" s="1"/>
  <c r="I42" i="1"/>
  <c r="N42" i="1" s="1"/>
  <c r="O42" i="1" s="1"/>
  <c r="I43" i="1"/>
  <c r="N43" i="1" s="1"/>
  <c r="O43" i="1" s="1"/>
  <c r="I44" i="1"/>
  <c r="N44" i="1" s="1"/>
  <c r="O44" i="1" s="1"/>
  <c r="I45" i="1"/>
  <c r="J45" i="1" s="1"/>
  <c r="K45" i="1" s="1"/>
  <c r="L45" i="1" s="1"/>
  <c r="I46" i="1"/>
  <c r="J46" i="1" s="1"/>
  <c r="K46" i="1" s="1"/>
  <c r="L46" i="1" s="1"/>
  <c r="I47" i="1"/>
  <c r="J47" i="1" s="1"/>
  <c r="K47" i="1" s="1"/>
  <c r="L47" i="1" s="1"/>
  <c r="I48" i="1"/>
  <c r="J48" i="1" s="1"/>
  <c r="K48" i="1" s="1"/>
  <c r="L48" i="1" s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Y6" i="1"/>
  <c r="Y7" i="1"/>
  <c r="Y8" i="1"/>
  <c r="Y9" i="1"/>
  <c r="Y10" i="1"/>
  <c r="Y11" i="1"/>
  <c r="Y12" i="1"/>
  <c r="Y13" i="1"/>
  <c r="Y14" i="1"/>
  <c r="Y15" i="1"/>
  <c r="Y5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U6" i="1"/>
  <c r="U7" i="1"/>
  <c r="U8" i="1"/>
  <c r="U9" i="1"/>
  <c r="U10" i="1"/>
  <c r="U11" i="1"/>
  <c r="U12" i="1"/>
  <c r="U13" i="1"/>
  <c r="U14" i="1"/>
  <c r="U15" i="1"/>
  <c r="U5" i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S4" i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M4" i="1"/>
  <c r="N4" i="1"/>
  <c r="E19" i="1"/>
  <c r="C19" i="1"/>
  <c r="D17" i="1"/>
  <c r="F5" i="1"/>
  <c r="F6" i="1"/>
  <c r="AB6" i="1" s="1"/>
  <c r="F7" i="1"/>
  <c r="AB7" i="1" s="1"/>
  <c r="F8" i="1"/>
  <c r="AB8" i="1" s="1"/>
  <c r="F9" i="1"/>
  <c r="AB9" i="1" s="1"/>
  <c r="F10" i="1"/>
  <c r="F11" i="1"/>
  <c r="F12" i="1"/>
  <c r="F13" i="1"/>
  <c r="AB13" i="1" s="1"/>
  <c r="F14" i="1"/>
  <c r="AB14" i="1" s="1"/>
  <c r="F15" i="1"/>
  <c r="F4" i="1"/>
  <c r="I4" i="1"/>
  <c r="J4" i="1"/>
  <c r="AB15" i="1" l="1"/>
  <c r="F16" i="1"/>
  <c r="AB12" i="1"/>
  <c r="O14" i="1"/>
  <c r="J44" i="1"/>
  <c r="K44" i="1" s="1"/>
  <c r="L44" i="1" s="1"/>
  <c r="O13" i="1"/>
  <c r="J43" i="1"/>
  <c r="K43" i="1" s="1"/>
  <c r="L43" i="1" s="1"/>
  <c r="AB11" i="1"/>
  <c r="O4" i="1"/>
  <c r="O6" i="1"/>
  <c r="AB10" i="1"/>
  <c r="J42" i="1"/>
  <c r="K42" i="1" s="1"/>
  <c r="L42" i="1" s="1"/>
  <c r="J41" i="1"/>
  <c r="K41" i="1" s="1"/>
  <c r="L41" i="1" s="1"/>
  <c r="N37" i="1"/>
  <c r="O37" i="1" s="1"/>
  <c r="O5" i="1"/>
  <c r="F17" i="1"/>
  <c r="AB5" i="1"/>
  <c r="N48" i="1"/>
  <c r="O48" i="1" s="1"/>
  <c r="N47" i="1"/>
  <c r="O47" i="1" s="1"/>
  <c r="F19" i="1"/>
  <c r="N46" i="1"/>
  <c r="O46" i="1" s="1"/>
  <c r="N45" i="1"/>
  <c r="O45" i="1" s="1"/>
  <c r="N40" i="1"/>
  <c r="O40" i="1" s="1"/>
  <c r="N39" i="1"/>
  <c r="O39" i="1" s="1"/>
  <c r="N38" i="1"/>
  <c r="O38" i="1" s="1"/>
  <c r="D60" i="1"/>
  <c r="D65" i="1" s="1"/>
  <c r="D67" i="1" s="1"/>
  <c r="O10" i="1"/>
  <c r="O9" i="1"/>
  <c r="O15" i="1"/>
  <c r="O8" i="1"/>
  <c r="H12" i="1"/>
  <c r="O7" i="1"/>
  <c r="J11" i="1"/>
  <c r="O12" i="1"/>
  <c r="I11" i="1"/>
  <c r="O11" i="1"/>
  <c r="F18" i="1"/>
  <c r="J15" i="1"/>
  <c r="I10" i="1"/>
  <c r="J9" i="1"/>
  <c r="H5" i="1"/>
  <c r="J7" i="1"/>
  <c r="I14" i="1"/>
  <c r="I6" i="1"/>
  <c r="H11" i="1"/>
  <c r="H10" i="1"/>
  <c r="H6" i="1"/>
  <c r="I8" i="1"/>
  <c r="J14" i="1"/>
  <c r="H4" i="1"/>
  <c r="J13" i="1"/>
  <c r="J5" i="1"/>
  <c r="J10" i="1"/>
  <c r="I7" i="1"/>
  <c r="H15" i="1"/>
  <c r="I13" i="1"/>
  <c r="I5" i="1"/>
  <c r="H8" i="1"/>
  <c r="I9" i="1"/>
  <c r="J8" i="1"/>
  <c r="J6" i="1"/>
  <c r="H14" i="1"/>
  <c r="J12" i="1"/>
  <c r="H9" i="1"/>
  <c r="H7" i="1"/>
  <c r="I15" i="1"/>
  <c r="H13" i="1"/>
  <c r="I12" i="1"/>
  <c r="D73" i="1" l="1"/>
  <c r="C78" i="1"/>
  <c r="I16" i="1"/>
  <c r="D72" i="1"/>
  <c r="H16" i="1"/>
  <c r="J16" i="1"/>
  <c r="E78" i="1" l="1"/>
  <c r="C79" i="1"/>
  <c r="D74" i="1"/>
  <c r="K55" i="1"/>
  <c r="G55" i="1"/>
  <c r="I55" i="1"/>
  <c r="F78" i="1" l="1"/>
  <c r="C80" i="1"/>
  <c r="E79" i="1"/>
  <c r="F79" i="1" l="1"/>
  <c r="C81" i="1"/>
  <c r="E81" i="1" s="1"/>
  <c r="E80" i="1"/>
  <c r="F80" i="1" l="1"/>
  <c r="F81" i="1" s="1"/>
  <c r="C82" i="1"/>
  <c r="E82" i="1" s="1"/>
  <c r="C83" i="1" l="1"/>
  <c r="E83" i="1" s="1"/>
  <c r="F82" i="1"/>
  <c r="F83" i="1" l="1"/>
  <c r="C84" i="1"/>
  <c r="C85" i="1" l="1"/>
  <c r="E84" i="1"/>
  <c r="F84" i="1" s="1"/>
  <c r="C86" i="1" l="1"/>
  <c r="E85" i="1"/>
  <c r="F85" i="1" s="1"/>
  <c r="H77" i="1" s="1"/>
  <c r="H79" i="1" l="1" a="1"/>
  <c r="H79" i="1" s="1"/>
  <c r="H78" i="1" a="1"/>
  <c r="H78" i="1" s="1"/>
  <c r="C87" i="1"/>
  <c r="E87" i="1" s="1"/>
  <c r="E86" i="1"/>
  <c r="F86" i="1" s="1"/>
  <c r="H80" i="1" l="1"/>
  <c r="H81" i="1" s="1"/>
  <c r="F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<sst xmlns="http://schemas.openxmlformats.org/spreadsheetml/2006/main" count="843" uniqueCount="240">
  <si>
    <t>month</t>
  </si>
  <si>
    <t>coffee</t>
  </si>
  <si>
    <t>tea</t>
  </si>
  <si>
    <t>smoothie</t>
  </si>
  <si>
    <t>total</t>
  </si>
  <si>
    <t>Jan</t>
  </si>
  <si>
    <t>Fed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</si>
  <si>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</si>
  <si>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</si>
  <si>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</si>
  <si>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</si>
  <si>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</si>
  <si>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</si>
  <si>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</si>
  <si>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</si>
  <si>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</si>
  <si>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</si>
  <si>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ค่า Sum</t>
  </si>
  <si>
    <t>ค่า average</t>
  </si>
  <si>
    <t>ค่า max</t>
  </si>
  <si>
    <t>ค่า min</t>
  </si>
  <si>
    <t>ยอดขาย(จำนวนแก้ว)</t>
  </si>
  <si>
    <t>ตาราง %ต่อผลรวม</t>
  </si>
  <si>
    <t>ยอดขายทั้งหมดในแต่ละเดือน ว่ามีความมากน้อยแค่ไหน</t>
  </si>
  <si>
    <t>ผลรวมของแต่ละเดือนรวมกันตั้งแต่เดือนแรก</t>
  </si>
  <si>
    <t>วิเคราะห์การเปลี่ยนแปลงของแต่ละเดือน</t>
  </si>
  <si>
    <t xml:space="preserve">วิเคราะห์ขาดทุนเทียบกับเดือนก่อน เป็น % </t>
  </si>
  <si>
    <t>totol</t>
  </si>
  <si>
    <t>การวิเคราร์ข้อมูลทางธุรกิจเบื่องต้น</t>
  </si>
  <si>
    <t>alt = : คลอบทับเพื่อเติมค่าผลรวม</t>
  </si>
  <si>
    <t>รายเดือน</t>
  </si>
  <si>
    <t>เฉลี่ยต่อวัน</t>
  </si>
  <si>
    <t>เฉลี่ยต่อชั่วโมง</t>
  </si>
  <si>
    <t>1แก้ว/กี่นาที</t>
  </si>
  <si>
    <t>ราคา/แก้ว</t>
  </si>
  <si>
    <t>รายได้/เดือน</t>
  </si>
  <si>
    <t>นำไปประเมินว่ามีพนักงานพอกับลูกค่าที่เข้ามา/นาทีหรือไม่</t>
  </si>
  <si>
    <t>รายได้/วัน</t>
  </si>
  <si>
    <t>เปิดร้านกาแฟ คุ้มไหม?</t>
  </si>
  <si>
    <t>ขายได้</t>
  </si>
  <si>
    <t>แก้ว/วัน</t>
  </si>
  <si>
    <t>บาท</t>
  </si>
  <si>
    <t>รายการ</t>
  </si>
  <si>
    <t>ต้นทุนวัตถุดิบ</t>
  </si>
  <si>
    <t>ค่าพนักงาน</t>
  </si>
  <si>
    <t>ค่าเช่า</t>
  </si>
  <si>
    <t>ค่าน้ำ/ไฟ</t>
  </si>
  <si>
    <t>อื่นๆ</t>
  </si>
  <si>
    <t>รวมค่าใช้จ่าย</t>
  </si>
  <si>
    <t>รายได้-ค่าใช้จ่าย</t>
  </si>
  <si>
    <t>ค่าใช้จ่าย/เดือน</t>
  </si>
  <si>
    <t>what-if Amalysis -&gt; goal seek</t>
  </si>
  <si>
    <t>what-if Amalysis -&gt; Data table</t>
  </si>
  <si>
    <t>จำนวนแก้ว</t>
  </si>
  <si>
    <t>เงินลงทุน</t>
  </si>
  <si>
    <t>อัตราผลตอบแทน</t>
  </si>
  <si>
    <t>ระยะคืนทุน</t>
  </si>
  <si>
    <t>ต่อปี</t>
  </si>
  <si>
    <t>เดือน</t>
  </si>
  <si>
    <t>ต่อเดือน</t>
  </si>
  <si>
    <t>ปี</t>
  </si>
  <si>
    <t>กระแสเงินสดรับ</t>
  </si>
  <si>
    <t>กระแสเงินสดจ่าย</t>
  </si>
  <si>
    <t>การแสเงินสดสุทธิ</t>
  </si>
  <si>
    <t>กระแสเงินสดสะสม</t>
  </si>
  <si>
    <t>payback period</t>
  </si>
  <si>
    <t>จุดตัดเดือนสุดท้าย</t>
  </si>
  <si>
    <t>รายได้สุทธิ</t>
  </si>
  <si>
    <t>จำนวนปีคืนทุน</t>
  </si>
  <si>
    <t>จุดเริ่มกำไร</t>
  </si>
  <si>
    <t>ระยะเวลา</t>
  </si>
  <si>
    <t>Gen Z</t>
  </si>
  <si>
    <t>ชื่อ</t>
  </si>
  <si>
    <t>นามสกุล</t>
  </si>
  <si>
    <t>เพศ</t>
  </si>
  <si>
    <t xml:space="preserve">วันเกิด </t>
  </si>
  <si>
    <t xml:space="preserve">GenVLookup </t>
  </si>
  <si>
    <t xml:space="preserve">GenVBA </t>
  </si>
  <si>
    <t>ตำแหน่ง</t>
  </si>
  <si>
    <t>แผนก</t>
  </si>
  <si>
    <t xml:space="preserve">เงินเดือน </t>
  </si>
  <si>
    <t xml:space="preserve">วันเริ่มงาน </t>
  </si>
  <si>
    <t xml:space="preserve">สิ้นสุดการทดลองงาน </t>
  </si>
  <si>
    <t xml:space="preserve">status </t>
  </si>
  <si>
    <t xml:space="preserve">อายุงาน(ปี) </t>
  </si>
  <si>
    <t xml:space="preserve">อายุงาน </t>
  </si>
  <si>
    <t>กันตภณ</t>
  </si>
  <si>
    <t>ซ่อนกลิ่น</t>
  </si>
  <si>
    <t>M</t>
  </si>
  <si>
    <t>ผู้จัดการ</t>
  </si>
  <si>
    <t>HR</t>
  </si>
  <si>
    <t>normal</t>
  </si>
  <si>
    <t>9 ปี 8 เดือน 3 วัน</t>
  </si>
  <si>
    <t>เกศินี</t>
  </si>
  <si>
    <t>สายหยุด</t>
  </si>
  <si>
    <t>F</t>
  </si>
  <si>
    <t>Gen X</t>
  </si>
  <si>
    <t>ผู้ช่วยผู้จัดการ</t>
  </si>
  <si>
    <t>FIN</t>
  </si>
  <si>
    <t>37 ปี 11 เดือน 1 วัน</t>
  </si>
  <si>
    <t>ชัชลัญญา</t>
  </si>
  <si>
    <t>ลั่นทม</t>
  </si>
  <si>
    <t>Gen Y</t>
  </si>
  <si>
    <t>16 ปี 5 เดือน 5 วัน</t>
  </si>
  <si>
    <t>ชาติไทย</t>
  </si>
  <si>
    <t>เสี้ยวดอกแดง</t>
  </si>
  <si>
    <t>พนักงานระดับต้น</t>
  </si>
  <si>
    <t>MKT</t>
  </si>
  <si>
    <t>10 ปี 3 เดือน 10 วัน</t>
  </si>
  <si>
    <t>โชติมา</t>
  </si>
  <si>
    <t>อรคนธ์</t>
  </si>
  <si>
    <t>รองผู้จัดการ</t>
  </si>
  <si>
    <t>18 ปี 1 เดือน 13 วัน</t>
  </si>
  <si>
    <t>ฐิติรัตน์</t>
  </si>
  <si>
    <t>ตันหยง</t>
  </si>
  <si>
    <t>29 ปี 2 เดือน 22 วัน</t>
  </si>
  <si>
    <t>ณภัทร</t>
  </si>
  <si>
    <t>มณฑา</t>
  </si>
  <si>
    <t>40 ปี 11 เดือน 29 วัน</t>
  </si>
  <si>
    <t>ณัชชา</t>
  </si>
  <si>
    <t>สนสร้อย</t>
  </si>
  <si>
    <t>ผู้ชำนาญงาน</t>
  </si>
  <si>
    <t>ACC</t>
  </si>
  <si>
    <t>8 ปี 7 เดือน 20 วัน</t>
  </si>
  <si>
    <t>ณัฐญาณิน</t>
  </si>
  <si>
    <t>มะลิลา</t>
  </si>
  <si>
    <t>13 ปี 8 เดือน 26 วัน</t>
  </si>
  <si>
    <t>ณิชา</t>
  </si>
  <si>
    <t>ประดู่</t>
  </si>
  <si>
    <t>8 ปี 7 เดือน 3 วัน</t>
  </si>
  <si>
    <t>ณิรดา</t>
  </si>
  <si>
    <t>คัดเค้าเครือ</t>
  </si>
  <si>
    <t>24 ปี 0 เดือน 2 วัน</t>
  </si>
  <si>
    <t>เดชชัย</t>
  </si>
  <si>
    <t>พุทธชาติสามสี</t>
  </si>
  <si>
    <t>21 ปี 7 เดือน 23 วัน</t>
  </si>
  <si>
    <t>ธนโชติ</t>
  </si>
  <si>
    <t>พลับพลึง</t>
  </si>
  <si>
    <t>เจ้าหน้าที่อาวุโส</t>
  </si>
  <si>
    <t>20 ปี 6 เดือน 14 วัน</t>
  </si>
  <si>
    <t>ธนัชเศรษฐ์</t>
  </si>
  <si>
    <t>กุมาริกา</t>
  </si>
  <si>
    <t>8 ปี 9 เดือน 26 วัน</t>
  </si>
  <si>
    <t>ปกฉัตร</t>
  </si>
  <si>
    <t>หิรัญญิการ์</t>
  </si>
  <si>
    <t>21 ปี 7 เดือน 11 วัน</t>
  </si>
  <si>
    <t>พลอยไพลิน</t>
  </si>
  <si>
    <t>แสลงพัน</t>
  </si>
  <si>
    <t>22 ปี 1 เดือน 4 วัน</t>
  </si>
  <si>
    <t>ภวัต</t>
  </si>
  <si>
    <t>ราชาวดี</t>
  </si>
  <si>
    <t>10 ปี 2 เดือน 18 วัน</t>
  </si>
  <si>
    <t>ภัทรภณ</t>
  </si>
  <si>
    <t>เถาวัลย์เปรียง</t>
  </si>
  <si>
    <t>40 ปี 6 เดือน 15 วัน</t>
  </si>
  <si>
    <t>เมธาปวีณ์</t>
  </si>
  <si>
    <t>ยี่หุบ</t>
  </si>
  <si>
    <t>38 ปี 3 เดือน 17 วัน</t>
  </si>
  <si>
    <t>วารี</t>
  </si>
  <si>
    <t>บานเย็น</t>
  </si>
  <si>
    <t>IT</t>
  </si>
  <si>
    <t>16 ปี 8 เดือน 14 วัน</t>
  </si>
  <si>
    <t>วีรยุทธ์</t>
  </si>
  <si>
    <t>มะลิวัลย์</t>
  </si>
  <si>
    <t>18 ปี 9 เดือน 0 วัน</t>
  </si>
  <si>
    <t>ศนิดา</t>
  </si>
  <si>
    <t>หางไหล</t>
  </si>
  <si>
    <t>18 ปี 4 เดือน 8 วัน</t>
  </si>
  <si>
    <t>ศวิตา</t>
  </si>
  <si>
    <t>พุด</t>
  </si>
  <si>
    <t>28 ปี 0 เดือน 28 วัน</t>
  </si>
  <si>
    <t>ศศิน</t>
  </si>
  <si>
    <t>ราตรี</t>
  </si>
  <si>
    <t>18 ปี 5 เดือน 3 วัน</t>
  </si>
  <si>
    <t>ศิรดา</t>
  </si>
  <si>
    <t>กระดังงา</t>
  </si>
  <si>
    <t>18 ปี 6 เดือน 16 วัน</t>
  </si>
  <si>
    <t>เศรษฐโชค</t>
  </si>
  <si>
    <t>ชำมะนาด</t>
  </si>
  <si>
    <t>28 ปี 2 เดือน 19 วัน</t>
  </si>
  <si>
    <t>สกณัฐ</t>
  </si>
  <si>
    <t>มหาหงษ์</t>
  </si>
  <si>
    <t>11 ปี 2 เดือน 12 วัน</t>
  </si>
  <si>
    <t>สีหชาติ</t>
  </si>
  <si>
    <t>กฤษณา</t>
  </si>
  <si>
    <t>21 ปี 5 เดือน 14 วัน</t>
  </si>
  <si>
    <t>สุกัญญา</t>
  </si>
  <si>
    <t>จันทน์กะพ้อ</t>
  </si>
  <si>
    <t>21 ปี 7 เดือน 17 วัน</t>
  </si>
  <si>
    <t>เสฐียรพงษ์</t>
  </si>
  <si>
    <t>ปริก</t>
  </si>
  <si>
    <t>8 ปี 7 เดือน 22 วัน</t>
  </si>
  <si>
    <t>อลิษา</t>
  </si>
  <si>
    <t>ยี่หุบหนู</t>
  </si>
  <si>
    <t>40 ปี 5 เดือน 14 วัน</t>
  </si>
  <si>
    <t>Born</t>
  </si>
  <si>
    <t>Gen</t>
  </si>
  <si>
    <t>Silent</t>
  </si>
  <si>
    <t>Biby Boomer</t>
  </si>
  <si>
    <t>Gen Alpha</t>
  </si>
  <si>
    <t>Undefined</t>
  </si>
  <si>
    <t xml:space="preserve">บริหารบุคคล หา generation ของพนักงาน </t>
  </si>
  <si>
    <t>Row Labels</t>
  </si>
  <si>
    <t>Grand Total</t>
  </si>
  <si>
    <t>Count of ชื่อ</t>
  </si>
  <si>
    <t>Column Labels</t>
  </si>
  <si>
    <t>ACC Total</t>
  </si>
  <si>
    <t>FIN Total</t>
  </si>
  <si>
    <t>HR Total</t>
  </si>
  <si>
    <t>IT Total</t>
  </si>
  <si>
    <t>MKT Total</t>
  </si>
  <si>
    <t>(All)</t>
  </si>
  <si>
    <t>เพิ่มเติม กราฟ</t>
  </si>
  <si>
    <t>สรุป เรียนการใช้งาน Sum(+) Average(ค่าเฉลี่ย) Min Max %</t>
  </si>
  <si>
    <t>หารหาค่าทำ %</t>
  </si>
  <si>
    <t>หารหารค่า 100% ของแต่ละเดือนว่า ประเภทอะไรบ้างแบ่งเป็นกี่ %</t>
  </si>
  <si>
    <t>หาผลรวมไล่ตั้งแต่เดือนแรก</t>
  </si>
  <si>
    <t>เทียบยอดแตกต่างกับเดือนที่แล้วเท่าไหรบ้าง</t>
  </si>
  <si>
    <t>เทียบยอดกับเดือนที่แล้วว่าเป็น %</t>
  </si>
  <si>
    <t>ลองนำข้อมูลแต่ละประเภท All SUM / 30 วัน / 12 ชม. การทำงาน / 60 นาที เพื่อไว้ใช้คำนวนพนักงาน</t>
  </si>
  <si>
    <t xml:space="preserve">นำตัวอย่างการเปิดร้านกาแฟ โดยมีข้อมูลรายได้ ต่อแก้วที่ขาย ราคา รายได้เฉลี่ยนต่อวัน รายจ่ายหัดรายได้ หากำไรต่อเดือน </t>
  </si>
  <si>
    <t xml:space="preserve">หาค่ารายได้ตามจำนวนแก้ว </t>
  </si>
  <si>
    <t>อายุพนักงาน</t>
  </si>
  <si>
    <t>อายุแบบระเอียด</t>
  </si>
  <si>
    <t>อายุงาน</t>
  </si>
  <si>
    <t>YEARFERC: ปีแบบมีเศษหรือเดือน</t>
  </si>
  <si>
    <t>DATEDIF: หาว่าวันที่เราส่นใจห่างจาก วัน เดือน ปี เท่าไหร่</t>
  </si>
  <si>
    <t xml:space="preserve">Count of อายุงาน </t>
  </si>
  <si>
    <t>การใช้ PicotTable</t>
  </si>
  <si>
    <t xml:space="preserve">yearfrac </t>
  </si>
  <si>
    <t xml:space="preserve">age_groupVLookup </t>
  </si>
  <si>
    <t>Baby boomer</t>
  </si>
  <si>
    <t>age_group</t>
  </si>
  <si>
    <t>ใช้ VLOOKUP การแบ่งช่วงพนักงาน</t>
  </si>
  <si>
    <t>26 - 30</t>
  </si>
  <si>
    <t>31 - 40</t>
  </si>
  <si>
    <t>41 - 50</t>
  </si>
  <si>
    <t>51 - 55</t>
  </si>
  <si>
    <t>56 - 60</t>
  </si>
  <si>
    <t>61 - 69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</si>
</sst>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_-* #,##0_-;\-* #,##0_-;_-* &quot;-&quot;??_-;_-@_-"/>
    <numFmt numFmtId="188" formatCode="0.0%"/>
    <numFmt numFmtId="189" formatCode="_-* #,##0.0_-;\-* #,##0.0_-;_-* &quot;-&quot;??_-;_-@_-"/>
    <numFmt numFmtId="190" formatCode="B1d\-mmm\-yy"/>
    <numFmt numFmtId="191" formatCode="_-* #,##0.000_-;\-* #,##0.00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Noto sans"/>
      <charset val="222"/>
    </font>
    <font>
      <sz val="11"/>
      <color theme="1"/>
      <name val="Noto Sans"/>
      <family val="2"/>
    </font>
    <font>
      <sz val="11"/>
      <color theme="5"/>
      <name val="Noto Sans"/>
      <family val="2"/>
    </font>
    <font>
      <sz val="11"/>
      <color theme="9"/>
      <name val="Noto Sans"/>
      <family val="2"/>
    </font>
    <font>
      <sz val="8"/>
      <name val="Tahoma"/>
      <family val="2"/>
      <charset val="22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2" borderId="0" xfId="3" applyFont="1"/>
    <xf numFmtId="187" fontId="2" fillId="0" borderId="0" xfId="1" applyNumberFormat="1" applyFont="1"/>
    <xf numFmtId="188" fontId="2" fillId="0" borderId="0" xfId="2" applyNumberFormat="1" applyFont="1"/>
    <xf numFmtId="188" fontId="2" fillId="0" borderId="0" xfId="0" applyNumberFormat="1" applyFont="1"/>
    <xf numFmtId="187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0" fontId="2" fillId="2" borderId="0" xfId="3" applyFont="1" applyAlignment="1">
      <alignment vertical="center"/>
    </xf>
    <xf numFmtId="43" fontId="2" fillId="0" borderId="0" xfId="0" applyNumberFormat="1" applyFont="1"/>
    <xf numFmtId="0" fontId="2" fillId="0" borderId="0" xfId="3" applyFont="1" applyFill="1" applyAlignment="1">
      <alignment vertical="center"/>
    </xf>
    <xf numFmtId="0" fontId="2" fillId="3" borderId="0" xfId="0" applyFont="1" applyFill="1"/>
    <xf numFmtId="14" fontId="2" fillId="4" borderId="0" xfId="0" applyNumberFormat="1" applyFont="1" applyFill="1"/>
    <xf numFmtId="189" fontId="2" fillId="0" borderId="0" xfId="1" applyNumberFormat="1" applyFont="1"/>
    <xf numFmtId="0" fontId="2" fillId="6" borderId="0" xfId="0" applyFont="1" applyFill="1"/>
    <xf numFmtId="0" fontId="2" fillId="7" borderId="0" xfId="0" applyFont="1" applyFill="1"/>
    <xf numFmtId="187" fontId="2" fillId="0" borderId="0" xfId="1" applyNumberFormat="1" applyFont="1" applyFill="1"/>
    <xf numFmtId="9" fontId="2" fillId="0" borderId="0" xfId="0" applyNumberFormat="1" applyFont="1"/>
    <xf numFmtId="0" fontId="3" fillId="0" borderId="0" xfId="0" applyFont="1"/>
    <xf numFmtId="187" fontId="4" fillId="0" borderId="0" xfId="1" applyNumberFormat="1" applyFont="1" applyFill="1"/>
    <xf numFmtId="0" fontId="3" fillId="8" borderId="0" xfId="0" applyFont="1" applyFill="1"/>
    <xf numFmtId="10" fontId="2" fillId="0" borderId="0" xfId="0" applyNumberFormat="1" applyFont="1"/>
    <xf numFmtId="187" fontId="4" fillId="0" borderId="0" xfId="1" applyNumberFormat="1" applyFont="1"/>
    <xf numFmtId="0" fontId="3" fillId="3" borderId="0" xfId="0" applyFont="1" applyFill="1"/>
    <xf numFmtId="187" fontId="5" fillId="0" borderId="0" xfId="1" applyNumberFormat="1" applyFont="1" applyFill="1"/>
    <xf numFmtId="0" fontId="2" fillId="9" borderId="0" xfId="0" applyFont="1" applyFill="1"/>
    <xf numFmtId="187" fontId="2" fillId="10" borderId="0" xfId="1" applyNumberFormat="1" applyFont="1" applyFill="1" applyBorder="1" applyAlignment="1">
      <alignment horizontal="center"/>
    </xf>
    <xf numFmtId="187" fontId="2" fillId="0" borderId="0" xfId="1" applyNumberFormat="1" applyFont="1" applyBorder="1"/>
    <xf numFmtId="187" fontId="2" fillId="8" borderId="0" xfId="1" applyNumberFormat="1" applyFont="1" applyFill="1"/>
    <xf numFmtId="187" fontId="2" fillId="8" borderId="0" xfId="1" applyNumberFormat="1" applyFont="1" applyFill="1" applyBorder="1"/>
    <xf numFmtId="187" fontId="2" fillId="7" borderId="0" xfId="1" applyNumberFormat="1" applyFont="1" applyFill="1"/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87" fontId="2" fillId="8" borderId="0" xfId="1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187" fontId="2" fillId="6" borderId="0" xfId="1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9" borderId="0" xfId="0" applyFill="1"/>
    <xf numFmtId="0" fontId="0" fillId="7" borderId="0" xfId="0" applyFill="1"/>
    <xf numFmtId="190" fontId="0" fillId="0" borderId="0" xfId="0" applyNumberFormat="1"/>
    <xf numFmtId="19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11" borderId="0" xfId="0" applyFont="1" applyFill="1"/>
    <xf numFmtId="188" fontId="2" fillId="11" borderId="0" xfId="2" applyNumberFormat="1" applyFont="1" applyFill="1"/>
    <xf numFmtId="0" fontId="3" fillId="11" borderId="0" xfId="0" applyFont="1" applyFill="1"/>
    <xf numFmtId="0" fontId="2" fillId="5" borderId="0" xfId="0" applyFont="1" applyFill="1"/>
    <xf numFmtId="0" fontId="2" fillId="12" borderId="0" xfId="0" applyFont="1" applyFill="1"/>
    <xf numFmtId="0" fontId="2" fillId="13" borderId="0" xfId="0" applyFont="1" applyFill="1"/>
    <xf numFmtId="187" fontId="2" fillId="10" borderId="0" xfId="1" applyNumberFormat="1" applyFont="1" applyFill="1"/>
    <xf numFmtId="187" fontId="2" fillId="10" borderId="0" xfId="0" applyNumberFormat="1" applyFont="1" applyFill="1"/>
    <xf numFmtId="187" fontId="2" fillId="8" borderId="0" xfId="0" applyNumberFormat="1" applyFont="1" applyFill="1"/>
    <xf numFmtId="187" fontId="2" fillId="7" borderId="0" xfId="0" applyNumberFormat="1" applyFont="1" applyFill="1"/>
    <xf numFmtId="0" fontId="2" fillId="0" borderId="0" xfId="0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90" fontId="2" fillId="14" borderId="0" xfId="0" applyNumberFormat="1" applyFon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190" fontId="2" fillId="14" borderId="0" xfId="0" applyNumberFormat="1" applyFont="1" applyFill="1" applyAlignment="1">
      <alignment horizontal="left" vertical="center"/>
    </xf>
    <xf numFmtId="190" fontId="0" fillId="14" borderId="0" xfId="0" applyNumberFormat="1" applyFill="1" applyAlignment="1">
      <alignment horizontal="left"/>
    </xf>
    <xf numFmtId="2" fontId="2" fillId="14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191" fontId="2" fillId="0" borderId="0" xfId="0" applyNumberFormat="1" applyFont="1"/>
    <xf numFmtId="0" fontId="0" fillId="0" borderId="1" xfId="0" applyBorder="1"/>
    <xf numFmtId="188" fontId="0" fillId="0" borderId="0" xfId="2" applyNumberFormat="1" applyFont="1"/>
    <xf numFmtId="188" fontId="0" fillId="0" borderId="0" xfId="0" applyNumberFormat="1"/>
    <xf numFmtId="0" fontId="2" fillId="5" borderId="0" xfId="0" applyFont="1" applyFill="1" applyAlignment="1">
      <alignment horizontal="center"/>
    </xf>
    <xf numFmtId="0" fontId="3" fillId="11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3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0" applyNumberFormat="1"/>
  </cellXfs>
  <cellStyles count="4">
    <cellStyle name="20% - Accent1" xfId="3" builtinId="30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3F6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98479631182687"/>
          <c:y val="0.19452571324027601"/>
          <c:w val="0.82946192809825714"/>
          <c:h val="0.52014561727033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Jan</c:v>
                </c:pt>
                <c:pt idx="1">
                  <c:v>Fed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Sheet1!$C$4:$C$15</c:f>
              <c:numCache>
                <c:formatCode>_-* #,##0_-;\-* #,##0_-;_-* "-"??_-;_-@_-</c:formatCode>
                <c:ptCount val="12"/>
                <c:pt idx="0">
                  <c:v>3700</c:v>
                </c:pt>
                <c:pt idx="1">
                  <c:v>2920</c:v>
                </c:pt>
                <c:pt idx="2">
                  <c:v>2750</c:v>
                </c:pt>
                <c:pt idx="3">
                  <c:v>3300</c:v>
                </c:pt>
                <c:pt idx="4">
                  <c:v>2700</c:v>
                </c:pt>
                <c:pt idx="5">
                  <c:v>2520</c:v>
                </c:pt>
                <c:pt idx="6">
                  <c:v>2790</c:v>
                </c:pt>
                <c:pt idx="7">
                  <c:v>3000</c:v>
                </c:pt>
                <c:pt idx="8">
                  <c:v>2982</c:v>
                </c:pt>
                <c:pt idx="9">
                  <c:v>3564</c:v>
                </c:pt>
                <c:pt idx="10">
                  <c:v>2952</c:v>
                </c:pt>
                <c:pt idx="11">
                  <c:v>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3-4933-BBD9-ED12DFE2194C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Jan</c:v>
                </c:pt>
                <c:pt idx="1">
                  <c:v>Fed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Sheet1!$D$4:$D$15</c:f>
              <c:numCache>
                <c:formatCode>_-* #,##0_-;\-* #,##0_-;_-* "-"??_-;_-@_-</c:formatCode>
                <c:ptCount val="12"/>
                <c:pt idx="0">
                  <c:v>1350</c:v>
                </c:pt>
                <c:pt idx="1">
                  <c:v>1050</c:v>
                </c:pt>
                <c:pt idx="2">
                  <c:v>995</c:v>
                </c:pt>
                <c:pt idx="3">
                  <c:v>1250</c:v>
                </c:pt>
                <c:pt idx="4">
                  <c:v>986</c:v>
                </c:pt>
                <c:pt idx="5">
                  <c:v>1035</c:v>
                </c:pt>
                <c:pt idx="6">
                  <c:v>1170</c:v>
                </c:pt>
                <c:pt idx="7">
                  <c:v>1200</c:v>
                </c:pt>
                <c:pt idx="8">
                  <c:v>1155</c:v>
                </c:pt>
                <c:pt idx="9">
                  <c:v>1075</c:v>
                </c:pt>
                <c:pt idx="10">
                  <c:v>1260</c:v>
                </c:pt>
                <c:pt idx="11">
                  <c:v>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3-4933-BBD9-ED12DFE2194C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smoothie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Jan</c:v>
                </c:pt>
                <c:pt idx="1">
                  <c:v>Fed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Sheet1!$E$4:$E$15</c:f>
              <c:numCache>
                <c:formatCode>_-* #,##0_-;\-* #,##0_-;_-* "-"??_-;_-@_-</c:formatCode>
                <c:ptCount val="12"/>
                <c:pt idx="0">
                  <c:v>1000</c:v>
                </c:pt>
                <c:pt idx="1">
                  <c:v>830</c:v>
                </c:pt>
                <c:pt idx="2">
                  <c:v>858</c:v>
                </c:pt>
                <c:pt idx="3">
                  <c:v>950</c:v>
                </c:pt>
                <c:pt idx="4">
                  <c:v>675</c:v>
                </c:pt>
                <c:pt idx="5">
                  <c:v>792</c:v>
                </c:pt>
                <c:pt idx="6">
                  <c:v>648</c:v>
                </c:pt>
                <c:pt idx="7">
                  <c:v>650</c:v>
                </c:pt>
                <c:pt idx="8">
                  <c:v>735</c:v>
                </c:pt>
                <c:pt idx="9">
                  <c:v>840</c:v>
                </c:pt>
                <c:pt idx="10">
                  <c:v>997</c:v>
                </c:pt>
                <c:pt idx="11">
                  <c:v>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3-4933-BBD9-ED12DFE21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561904"/>
        <c:axId val="1851558544"/>
      </c:barChart>
      <c:catAx>
        <c:axId val="185156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51558544"/>
        <c:crosses val="autoZero"/>
        <c:auto val="1"/>
        <c:lblAlgn val="ctr"/>
        <c:lblOffset val="100"/>
        <c:noMultiLvlLbl val="0"/>
      </c:catAx>
      <c:valAx>
        <c:axId val="18515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5156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[Book1.xlsx]Sheet1!PivotTable25</c:name>
    <c:fmtId val="0"/>
  </c:pivotSource>
  <c:chart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Sheet1!$U$126:$U$127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Sheet1!$S$128:$T$150</c:f>
              <c:multiLvlStrCache>
                <c:ptCount val="17"/>
                <c:lvl>
                  <c:pt idx="0">
                    <c:v>ผู้จัดการ</c:v>
                  </c:pt>
                  <c:pt idx="1">
                    <c:v>ผู้ช่วยผู้จัดการ</c:v>
                  </c:pt>
                  <c:pt idx="2">
                    <c:v>ผู้ชำนาญงาน</c:v>
                  </c:pt>
                  <c:pt idx="3">
                    <c:v>เจ้าหน้าที่อาวุโส</c:v>
                  </c:pt>
                  <c:pt idx="4">
                    <c:v>ผู้จัดการ</c:v>
                  </c:pt>
                  <c:pt idx="5">
                    <c:v>ผู้ช่วยผู้จัดการ</c:v>
                  </c:pt>
                  <c:pt idx="6">
                    <c:v>พนักงานระดับต้น</c:v>
                  </c:pt>
                  <c:pt idx="7">
                    <c:v>รองผู้จัดการ</c:v>
                  </c:pt>
                  <c:pt idx="8">
                    <c:v>ผู้จัดการ</c:v>
                  </c:pt>
                  <c:pt idx="9">
                    <c:v>ผู้ช่วยผู้จัดการ</c:v>
                  </c:pt>
                  <c:pt idx="10">
                    <c:v>ผู้ชำนาญงาน</c:v>
                  </c:pt>
                  <c:pt idx="11">
                    <c:v>พนักงานระดับต้น</c:v>
                  </c:pt>
                  <c:pt idx="12">
                    <c:v>พนักงานระดับต้น</c:v>
                  </c:pt>
                  <c:pt idx="13">
                    <c:v>ผู้จัดการ</c:v>
                  </c:pt>
                  <c:pt idx="14">
                    <c:v>ผู้ช่วยผู้จัดการ</c:v>
                  </c:pt>
                  <c:pt idx="15">
                    <c:v>พนักงานระดับต้น</c:v>
                  </c:pt>
                  <c:pt idx="16">
                    <c:v>รองผู้จัดการ</c:v>
                  </c:pt>
                </c:lvl>
                <c:lvl>
                  <c:pt idx="0">
                    <c:v>ACC</c:v>
                  </c:pt>
                  <c:pt idx="3">
                    <c:v>FIN</c:v>
                  </c:pt>
                  <c:pt idx="8">
                    <c:v>HR</c:v>
                  </c:pt>
                  <c:pt idx="12">
                    <c:v>IT</c:v>
                  </c:pt>
                  <c:pt idx="13">
                    <c:v>MKT</c:v>
                  </c:pt>
                </c:lvl>
              </c:multiLvlStrCache>
            </c:multiLvlStrRef>
          </c:cat>
          <c:val>
            <c:numRef>
              <c:f>Sheet1!$U$128:$U$150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2-45B3-BD51-032855412A7F}"/>
            </c:ext>
          </c:extLst>
        </c:ser>
        <c:ser>
          <c:idx val="1"/>
          <c:order val="1"/>
          <c:tx>
            <c:strRef>
              <c:f>Sheet1!$V$126:$V$127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Sheet1!$S$128:$T$150</c:f>
              <c:multiLvlStrCache>
                <c:ptCount val="17"/>
                <c:lvl>
                  <c:pt idx="0">
                    <c:v>ผู้จัดการ</c:v>
                  </c:pt>
                  <c:pt idx="1">
                    <c:v>ผู้ช่วยผู้จัดการ</c:v>
                  </c:pt>
                  <c:pt idx="2">
                    <c:v>ผู้ชำนาญงาน</c:v>
                  </c:pt>
                  <c:pt idx="3">
                    <c:v>เจ้าหน้าที่อาวุโส</c:v>
                  </c:pt>
                  <c:pt idx="4">
                    <c:v>ผู้จัดการ</c:v>
                  </c:pt>
                  <c:pt idx="5">
                    <c:v>ผู้ช่วยผู้จัดการ</c:v>
                  </c:pt>
                  <c:pt idx="6">
                    <c:v>พนักงานระดับต้น</c:v>
                  </c:pt>
                  <c:pt idx="7">
                    <c:v>รองผู้จัดการ</c:v>
                  </c:pt>
                  <c:pt idx="8">
                    <c:v>ผู้จัดการ</c:v>
                  </c:pt>
                  <c:pt idx="9">
                    <c:v>ผู้ช่วยผู้จัดการ</c:v>
                  </c:pt>
                  <c:pt idx="10">
                    <c:v>ผู้ชำนาญงาน</c:v>
                  </c:pt>
                  <c:pt idx="11">
                    <c:v>พนักงานระดับต้น</c:v>
                  </c:pt>
                  <c:pt idx="12">
                    <c:v>พนักงานระดับต้น</c:v>
                  </c:pt>
                  <c:pt idx="13">
                    <c:v>ผู้จัดการ</c:v>
                  </c:pt>
                  <c:pt idx="14">
                    <c:v>ผู้ช่วยผู้จัดการ</c:v>
                  </c:pt>
                  <c:pt idx="15">
                    <c:v>พนักงานระดับต้น</c:v>
                  </c:pt>
                  <c:pt idx="16">
                    <c:v>รองผู้จัดการ</c:v>
                  </c:pt>
                </c:lvl>
                <c:lvl>
                  <c:pt idx="0">
                    <c:v>ACC</c:v>
                  </c:pt>
                  <c:pt idx="3">
                    <c:v>FIN</c:v>
                  </c:pt>
                  <c:pt idx="8">
                    <c:v>HR</c:v>
                  </c:pt>
                  <c:pt idx="12">
                    <c:v>IT</c:v>
                  </c:pt>
                  <c:pt idx="13">
                    <c:v>MKT</c:v>
                  </c:pt>
                </c:lvl>
              </c:multiLvlStrCache>
            </c:multiLvlStrRef>
          </c:cat>
          <c:val>
            <c:numRef>
              <c:f>Sheet1!$V$128:$V$150</c:f>
              <c:numCache>
                <c:formatCode>General</c:formatCode>
                <c:ptCount val="17"/>
                <c:pt idx="1">
                  <c:v>1</c:v>
                </c:pt>
                <c:pt idx="3">
                  <c:v>2</c:v>
                </c:pt>
                <c:pt idx="6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2-45B3-BD51-03285541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803984"/>
        <c:axId val="1544796784"/>
      </c:barChart>
      <c:catAx>
        <c:axId val="1544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4796784"/>
        <c:crosses val="autoZero"/>
        <c:auto val="1"/>
        <c:lblAlgn val="ctr"/>
        <c:lblOffset val="100"/>
        <c:noMultiLvlLbl val="0"/>
      </c:catAx>
      <c:valAx>
        <c:axId val="15447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4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[Book1.xlsx]Sheet1!PivotTable1</c:name>
    <c:fmtId val="15"/>
  </c:pivotSource>
  <c:chart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Sheet1!$L$160:$L$161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Sheet1!$K$162:$K$168</c:f>
              <c:strCache>
                <c:ptCount val="6"/>
                <c:pt idx="0">
                  <c:v>26 - 30</c:v>
                </c:pt>
                <c:pt idx="1">
                  <c:v>31 - 40</c:v>
                </c:pt>
                <c:pt idx="2">
                  <c:v>41 - 50</c:v>
                </c:pt>
                <c:pt idx="3">
                  <c:v>51 - 55</c:v>
                </c:pt>
                <c:pt idx="4">
                  <c:v>56 - 60</c:v>
                </c:pt>
                <c:pt idx="5">
                  <c:v>61 - 69</c:v>
                </c:pt>
              </c:strCache>
            </c:strRef>
          </c:cat>
          <c:val>
            <c:numRef>
              <c:f>Sheet1!$L$162:$L$168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6-4629-A501-2C487BF48B66}"/>
            </c:ext>
          </c:extLst>
        </c:ser>
        <c:ser>
          <c:idx val="1"/>
          <c:order val="1"/>
          <c:tx>
            <c:strRef>
              <c:f>Sheet1!$M$160:$M$161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Sheet1!$K$162:$K$168</c:f>
              <c:strCache>
                <c:ptCount val="6"/>
                <c:pt idx="0">
                  <c:v>26 - 30</c:v>
                </c:pt>
                <c:pt idx="1">
                  <c:v>31 - 40</c:v>
                </c:pt>
                <c:pt idx="2">
                  <c:v>41 - 50</c:v>
                </c:pt>
                <c:pt idx="3">
                  <c:v>51 - 55</c:v>
                </c:pt>
                <c:pt idx="4">
                  <c:v>56 - 60</c:v>
                </c:pt>
                <c:pt idx="5">
                  <c:v>61 - 69</c:v>
                </c:pt>
              </c:strCache>
            </c:strRef>
          </c:cat>
          <c:val>
            <c:numRef>
              <c:f>Sheet1!$M$162:$M$168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6-4629-A501-2C487BF48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8210639"/>
        <c:axId val="1698207279"/>
      </c:barChart>
      <c:catAx>
        <c:axId val="169821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98207279"/>
        <c:crosses val="autoZero"/>
        <c:auto val="1"/>
        <c:lblAlgn val="ctr"/>
        <c:lblOffset val="100"/>
        <c:noMultiLvlLbl val="0"/>
      </c:catAx>
      <c:valAx>
        <c:axId val="16982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9821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[Book1.xlsx]Sheet1!PivotTable3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122703412073488E-2"/>
          <c:y val="0.34878973461650625"/>
          <c:w val="0.59812292213473317"/>
          <c:h val="0.56732939632545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Sheet1!$S$91:$S$93</c:f>
              <c:strCache>
                <c:ptCount val="1"/>
                <c:pt idx="0">
                  <c:v>ACC - 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Sheet1!$S$94:$S$98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44F1-A7C1-4FEA919979BC}"/>
            </c:ext>
          </c:extLst>
        </c:ser>
        <c:ser>
          <c:idx val="1"/>
          <c:order val="1"/>
          <c:tx>
            <c:strRef>
              <c:f>Sheet1!$T$91:$T$93</c:f>
              <c:strCache>
                <c:ptCount val="1"/>
                <c:pt idx="0">
                  <c:v>ACC - ผู้ช่วยผู้จัดการ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Sheet1!$T$94:$T$98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8-44F1-A7C1-4FEA919979BC}"/>
            </c:ext>
          </c:extLst>
        </c:ser>
        <c:ser>
          <c:idx val="2"/>
          <c:order val="2"/>
          <c:tx>
            <c:strRef>
              <c:f>Sheet1!$U$91:$U$93</c:f>
              <c:strCache>
                <c:ptCount val="1"/>
                <c:pt idx="0">
                  <c:v>ACC - ผู้ชำนาญงาน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Sheet1!$U$94:$U$98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8-44F1-A7C1-4FEA919979BC}"/>
            </c:ext>
          </c:extLst>
        </c:ser>
        <c:ser>
          <c:idx val="3"/>
          <c:order val="3"/>
          <c:tx>
            <c:strRef>
              <c:f>Sheet1!$W$91:$W$93</c:f>
              <c:strCache>
                <c:ptCount val="1"/>
                <c:pt idx="0">
                  <c:v>FIN - เจ้าหน้าที่อาวุโส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Sheet1!$W$94:$W$98</c:f>
              <c:numCache>
                <c:formatCode>General</c:formatCode>
                <c:ptCount val="4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8-44F1-A7C1-4FEA919979BC}"/>
            </c:ext>
          </c:extLst>
        </c:ser>
        <c:ser>
          <c:idx val="4"/>
          <c:order val="4"/>
          <c:tx>
            <c:strRef>
              <c:f>Sheet1!$X$91:$X$93</c:f>
              <c:strCache>
                <c:ptCount val="1"/>
                <c:pt idx="0">
                  <c:v>FIN - 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Sheet1!$X$94:$X$98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D8-44F1-A7C1-4FEA919979BC}"/>
            </c:ext>
          </c:extLst>
        </c:ser>
        <c:ser>
          <c:idx val="5"/>
          <c:order val="5"/>
          <c:tx>
            <c:strRef>
              <c:f>Sheet1!$Y$91:$Y$93</c:f>
              <c:strCache>
                <c:ptCount val="1"/>
                <c:pt idx="0">
                  <c:v>FIN - ผู้ช่วยผู้จัดการ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Sheet1!$Y$94:$Y$98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D8-44F1-A7C1-4FEA919979BC}"/>
            </c:ext>
          </c:extLst>
        </c:ser>
        <c:ser>
          <c:idx val="6"/>
          <c:order val="6"/>
          <c:tx>
            <c:strRef>
              <c:f>Sheet1!$Z$91:$Z$93</c:f>
              <c:strCache>
                <c:ptCount val="1"/>
                <c:pt idx="0">
                  <c:v>FIN - พนักงานระดับต้น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Sheet1!$Z$94:$Z$98</c:f>
              <c:numCache>
                <c:formatCode>General</c:formatCode>
                <c:ptCount val="4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D8-44F1-A7C1-4FEA919979BC}"/>
            </c:ext>
          </c:extLst>
        </c:ser>
        <c:ser>
          <c:idx val="7"/>
          <c:order val="7"/>
          <c:tx>
            <c:strRef>
              <c:f>Sheet1!$AA$91:$AA$93</c:f>
              <c:strCache>
                <c:ptCount val="1"/>
                <c:pt idx="0">
                  <c:v>FIN - รองผู้จัดการ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Sheet1!$AA$94:$AA$98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D8-44F1-A7C1-4FEA919979BC}"/>
            </c:ext>
          </c:extLst>
        </c:ser>
        <c:ser>
          <c:idx val="8"/>
          <c:order val="8"/>
          <c:tx>
            <c:strRef>
              <c:f>Sheet1!$AC$91:$AC$93</c:f>
              <c:strCache>
                <c:ptCount val="1"/>
                <c:pt idx="0">
                  <c:v>HR - 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Sheet1!$AC$94:$AC$98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D8-44F1-A7C1-4FEA919979BC}"/>
            </c:ext>
          </c:extLst>
        </c:ser>
        <c:ser>
          <c:idx val="9"/>
          <c:order val="9"/>
          <c:tx>
            <c:strRef>
              <c:f>Sheet1!$AD$91:$AD$93</c:f>
              <c:strCache>
                <c:ptCount val="1"/>
                <c:pt idx="0">
                  <c:v>HR - ผู้ช่วยผู้จัดการ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Sheet1!$AD$94:$AD$98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C-4A5A-83EE-9C4F7C716554}"/>
            </c:ext>
          </c:extLst>
        </c:ser>
        <c:ser>
          <c:idx val="10"/>
          <c:order val="10"/>
          <c:tx>
            <c:strRef>
              <c:f>Sheet1!$AE$91:$AE$93</c:f>
              <c:strCache>
                <c:ptCount val="1"/>
                <c:pt idx="0">
                  <c:v>HR - ผู้ชำนาญงาน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Sheet1!$AE$94:$AE$98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C-4A5A-83EE-9C4F7C716554}"/>
            </c:ext>
          </c:extLst>
        </c:ser>
        <c:ser>
          <c:idx val="11"/>
          <c:order val="11"/>
          <c:tx>
            <c:strRef>
              <c:f>Sheet1!$AF$91:$AF$93</c:f>
              <c:strCache>
                <c:ptCount val="1"/>
                <c:pt idx="0">
                  <c:v>HR - พนักงานระดับต้น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Sheet1!$AF$94:$AF$98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C-4A5A-83EE-9C4F7C716554}"/>
            </c:ext>
          </c:extLst>
        </c:ser>
        <c:ser>
          <c:idx val="12"/>
          <c:order val="12"/>
          <c:tx>
            <c:strRef>
              <c:f>Sheet1!$AH$91:$AH$93</c:f>
              <c:strCache>
                <c:ptCount val="1"/>
                <c:pt idx="0">
                  <c:v>IT - พนักงานระดับต้น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Sheet1!$AH$94:$AH$98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3C-4A5A-83EE-9C4F7C716554}"/>
            </c:ext>
          </c:extLst>
        </c:ser>
        <c:ser>
          <c:idx val="13"/>
          <c:order val="13"/>
          <c:tx>
            <c:strRef>
              <c:f>Sheet1!$AJ$91:$AJ$93</c:f>
              <c:strCache>
                <c:ptCount val="1"/>
                <c:pt idx="0">
                  <c:v>MKT - 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Sheet1!$AJ$94:$AJ$98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3C-4A5A-83EE-9C4F7C716554}"/>
            </c:ext>
          </c:extLst>
        </c:ser>
        <c:ser>
          <c:idx val="14"/>
          <c:order val="14"/>
          <c:tx>
            <c:strRef>
              <c:f>Sheet1!$AK$91:$AK$93</c:f>
              <c:strCache>
                <c:ptCount val="1"/>
                <c:pt idx="0">
                  <c:v>MKT - ผู้ช่วยผู้จัดการ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Sheet1!$AK$94:$AK$98</c:f>
              <c:numCache>
                <c:formatCode>General</c:formatCode>
                <c:ptCount val="4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3C-4A5A-83EE-9C4F7C716554}"/>
            </c:ext>
          </c:extLst>
        </c:ser>
        <c:ser>
          <c:idx val="15"/>
          <c:order val="15"/>
          <c:tx>
            <c:strRef>
              <c:f>Sheet1!$AL$91:$AL$93</c:f>
              <c:strCache>
                <c:ptCount val="1"/>
                <c:pt idx="0">
                  <c:v>MKT - พนักงานระดับต้น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Sheet1!$AL$94:$AL$98</c:f>
              <c:numCache>
                <c:formatCode>General</c:formatCode>
                <c:ptCount val="4"/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3C-4A5A-83EE-9C4F7C716554}"/>
            </c:ext>
          </c:extLst>
        </c:ser>
        <c:ser>
          <c:idx val="16"/>
          <c:order val="16"/>
          <c:tx>
            <c:strRef>
              <c:f>Sheet1!$AM$91:$AM$93</c:f>
              <c:strCache>
                <c:ptCount val="1"/>
                <c:pt idx="0">
                  <c:v>MKT - รองผู้จัดการ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Sheet1!$R$94:$R$98</c:f>
              <c:strCache>
                <c:ptCount val="4"/>
                <c:pt idx="0">
                  <c:v>Biby Boomer</c:v>
                </c:pt>
                <c:pt idx="1">
                  <c:v>Gen X</c:v>
                </c:pt>
                <c:pt idx="2">
                  <c:v>Gen Y</c:v>
                </c:pt>
                <c:pt idx="3">
                  <c:v>Gen Z</c:v>
                </c:pt>
              </c:strCache>
            </c:strRef>
          </c:cat>
          <c:val>
            <c:numRef>
              <c:f>Sheet1!$AM$94:$AM$98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3C-4A5A-83EE-9C4F7C71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8145359"/>
        <c:axId val="1698154479"/>
      </c:barChart>
      <c:catAx>
        <c:axId val="16981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98154479"/>
        <c:crosses val="autoZero"/>
        <c:auto val="1"/>
        <c:lblAlgn val="ctr"/>
        <c:lblOffset val="100"/>
        <c:noMultiLvlLbl val="0"/>
      </c:catAx>
      <c:valAx>
        <c:axId val="16981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9814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585105</xdr:colOff>
      <xdr:row>20</xdr:row>
      <xdr:rowOff>97970</xdr:rowOff>
    </xdr:from>
    <xdr:to>
      <xdr:col>4</xdr:col>
      <xdr:colOff>979713</xdr:colOff>
      <xdr:row>32</xdr:row>
      <xdr:rowOff>65315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4FE83B-90FA-AA78-CCE9-7204862A6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32054</xdr:colOff>
      <xdr:row>150</xdr:row>
      <xdr:rowOff>4869</xdr:rowOff>
    </xdr:from>
    <xdr:to>
      <xdr:col>23</xdr:col>
      <xdr:colOff>1870292</xdr:colOff>
      <xdr:row>164</xdr:row>
      <xdr:rowOff>140621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B15A3-EBF3-C524-AF91-1C50C5592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34017</xdr:colOff>
      <xdr:row>168</xdr:row>
      <xdr:rowOff>43542</xdr:rowOff>
    </xdr:from>
    <xdr:to>
      <xdr:col>13</xdr:col>
      <xdr:colOff>914400</xdr:colOff>
      <xdr:row>179</xdr:row>
      <xdr:rowOff>5443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29064D-D4BB-D9CA-FC63-FF254CC05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27213</xdr:colOff>
      <xdr:row>99</xdr:row>
      <xdr:rowOff>777</xdr:rowOff>
    </xdr:from>
    <xdr:to>
      <xdr:col>22</xdr:col>
      <xdr:colOff>534820</xdr:colOff>
      <xdr:row>111</xdr:row>
      <xdr:rowOff>131405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83FF7C-1D4B-2867-89B0-785C99500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2.60823391204" createdVersion="8" refreshedVersion="8" minRefreshableVersion="3" recordCount="31" xr:uid="{69BAE9CE-62D6-4267-BFCB-D7DA7C48A728}">
  <cacheSource type="worksheet">
    <worksheetSource ref="B91:O122" sheet="Sheet1"/>
  </cacheSource>
  <cacheFields count="14">
    <cacheField name="ชื่อ" numFmtId="0">
      <sharedItems/>
    </cacheField>
    <cacheField name="นามสกุล" numFmtId="0">
      <sharedItems/>
    </cacheField>
    <cacheField name="เพศ" numFmtId="0">
      <sharedItems count="2">
        <s v="M"/>
        <s v="F"/>
      </sharedItems>
    </cacheField>
    <cacheField name="วันเกิด " numFmtId="190">
      <sharedItems containsSemiMixedTypes="0" containsNonDate="0" containsDate="1" containsString="0" minDate="1960-12-02T00:00:00" maxDate="1999-10-06T00:00:00"/>
    </cacheField>
    <cacheField name="GenVLookup " numFmtId="0">
      <sharedItems count="4">
        <s v="Gen Y"/>
        <s v="Gen X"/>
        <s v="Biby Boomer"/>
        <s v="Gen Z"/>
      </sharedItems>
    </cacheField>
    <cacheField name="GenVBA " numFmtId="0">
      <sharedItems/>
    </cacheField>
    <cacheField name="ตำแหน่ง" numFmtId="0">
      <sharedItems count="6">
        <s v="ผู้จัดการ"/>
        <s v="ผู้ช่วยผู้จัดการ"/>
        <s v="พนักงานระดับต้น"/>
        <s v="รองผู้จัดการ"/>
        <s v="ผู้ชำนาญงาน"/>
        <s v="เจ้าหน้าที่อาวุโส"/>
      </sharedItems>
    </cacheField>
    <cacheField name="แผนก" numFmtId="0">
      <sharedItems count="5">
        <s v="HR"/>
        <s v="FIN"/>
        <s v="MKT"/>
        <s v="ACC"/>
        <s v="IT"/>
      </sharedItems>
    </cacheField>
    <cacheField name="เงินเดือน " numFmtId="3">
      <sharedItems containsSemiMixedTypes="0" containsString="0" containsNumber="1" containsInteger="1" minValue="10000" maxValue="106000"/>
    </cacheField>
    <cacheField name="วันเริ่มงาน " numFmtId="190">
      <sharedItems containsSemiMixedTypes="0" containsNonDate="0" containsDate="1" containsString="0" minDate="1984-11-02T00:00:00" maxDate="2017-03-29T00:00:00"/>
    </cacheField>
    <cacheField name="สิ้นสุดการทดลองงาน " numFmtId="190">
      <sharedItems containsSemiMixedTypes="0" containsNonDate="0" containsDate="1" containsString="0" minDate="1985-05-01T00:00:00" maxDate="2017-09-25T00:00:00"/>
    </cacheField>
    <cacheField name="status " numFmtId="0">
      <sharedItems/>
    </cacheField>
    <cacheField name="อายุงาน(ปี) " numFmtId="0">
      <sharedItems containsSemiMixedTypes="0" containsString="0" containsNumber="1" minValue="8.59" maxValue="41"/>
    </cacheField>
    <cacheField name="อายุงาน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72.940028703706" createdVersion="8" refreshedVersion="8" minRefreshableVersion="3" recordCount="31" xr:uid="{6147A7A7-3469-4AE7-A816-59886EBB05A2}">
  <cacheSource type="worksheet">
    <worksheetSource ref="B126:P157" sheet="Sheet1"/>
  </cacheSource>
  <cacheFields count="15">
    <cacheField name="ชื่อ" numFmtId="0">
      <sharedItems count="31">
        <s v="กันตภณ"/>
        <s v="เกศินี"/>
        <s v="ชัชลัญญา"/>
        <s v="ชาติไทย"/>
        <s v="โชติมา"/>
        <s v="ฐิติรัตน์"/>
        <s v="ณภัทร"/>
        <s v="ณัชชา"/>
        <s v="ณัฐญาณิน"/>
        <s v="ณิชา"/>
        <s v="ณิรดา"/>
        <s v="เดชชัย"/>
        <s v="ธนโชติ"/>
        <s v="ธนัชเศรษฐ์"/>
        <s v="ปกฉัตร"/>
        <s v="พลอยไพลิน"/>
        <s v="ภวัต"/>
        <s v="ภัทรภณ"/>
        <s v="เมธาปวีณ์"/>
        <s v="วารี"/>
        <s v="วีรยุทธ์"/>
        <s v="ศนิดา"/>
        <s v="ศวิตา"/>
        <s v="ศศิน"/>
        <s v="ศิรดา"/>
        <s v="เศรษฐโชค"/>
        <s v="สกณัฐ"/>
        <s v="สีหชาติ"/>
        <s v="สุกัญญา"/>
        <s v="เสฐียรพงษ์"/>
        <s v="อลิษา"/>
      </sharedItems>
    </cacheField>
    <cacheField name="นามสกุล" numFmtId="0">
      <sharedItems/>
    </cacheField>
    <cacheField name="เพศ" numFmtId="0">
      <sharedItems count="2">
        <s v="M"/>
        <s v="F"/>
      </sharedItems>
    </cacheField>
    <cacheField name="วันเกิด " numFmtId="190">
      <sharedItems containsSemiMixedTypes="0" containsNonDate="0" containsDate="1" containsString="0" minDate="1960-12-02T00:00:00" maxDate="1999-10-06T00:00:00"/>
    </cacheField>
    <cacheField name="อายุพนักงาน" numFmtId="2">
      <sharedItems containsSemiMixedTypes="0" containsString="0" containsNumber="1" minValue="26.1" maxValue="64.941666666666663"/>
    </cacheField>
    <cacheField name="อายุแบบระเอียด" numFmtId="190">
      <sharedItems/>
    </cacheField>
    <cacheField name="วันเริ่มงาน " numFmtId="190">
      <sharedItems containsSemiMixedTypes="0" containsNonDate="0" containsDate="1" containsString="0" minDate="1984-11-02T00:00:00" maxDate="2017-03-29T00:00:00"/>
    </cacheField>
    <cacheField name="อายุงาน" numFmtId="2">
      <sharedItems containsSemiMixedTypes="0" containsString="0" containsNumber="1" minValue="8.6194444444444436" maxValue="41.024999999999999"/>
    </cacheField>
    <cacheField name="ตำแหน่ง" numFmtId="0">
      <sharedItems count="6">
        <s v="ผู้จัดการ"/>
        <s v="ผู้ช่วยผู้จัดการ"/>
        <s v="พนักงานระดับต้น"/>
        <s v="รองผู้จัดการ"/>
        <s v="ผู้ชำนาญงาน"/>
        <s v="เจ้าหน้าที่อาวุโส"/>
      </sharedItems>
    </cacheField>
    <cacheField name="แผนก" numFmtId="0">
      <sharedItems count="5">
        <s v="HR"/>
        <s v="FIN"/>
        <s v="MKT"/>
        <s v="ACC"/>
        <s v="IT"/>
      </sharedItems>
    </cacheField>
    <cacheField name="เงินเดือน " numFmtId="3">
      <sharedItems containsSemiMixedTypes="0" containsString="0" containsNumber="1" containsInteger="1" minValue="10000" maxValue="106000"/>
    </cacheField>
    <cacheField name="วันเริ่มงาน 2" numFmtId="190">
      <sharedItems containsSemiMixedTypes="0" containsNonDate="0" containsDate="1" containsString="0" minDate="1984-11-02T00:00:00" maxDate="2017-03-29T00:00:00"/>
    </cacheField>
    <cacheField name="สิ้นสุดการทดลองงาน " numFmtId="190">
      <sharedItems containsSemiMixedTypes="0" containsNonDate="0" containsDate="1" containsString="0" minDate="1985-05-01T00:00:00" maxDate="2017-09-25T00:00:00"/>
    </cacheField>
    <cacheField name="status " numFmtId="0">
      <sharedItems/>
    </cacheField>
    <cacheField name="อายุงาน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1.674738541667" createdVersion="8" refreshedVersion="8" minRefreshableVersion="3" recordCount="31" xr:uid="{CF4E90CB-30A2-4536-919E-463EC5306BE5}">
  <cacheSource type="worksheet">
    <worksheetSource ref="B160:I191" sheet="Sheet1"/>
  </cacheSource>
  <cacheFields count="8">
    <cacheField name="ชื่อ" numFmtId="0">
      <sharedItems/>
    </cacheField>
    <cacheField name="นามสกุล" numFmtId="0">
      <sharedItems/>
    </cacheField>
    <cacheField name="เพศ" numFmtId="0">
      <sharedItems count="2">
        <s v="M"/>
        <s v="F"/>
      </sharedItems>
    </cacheField>
    <cacheField name="วันเกิด " numFmtId="190">
      <sharedItems containsSemiMixedTypes="0" containsNonDate="0" containsDate="1" containsString="0" minDate="1960-03-05T00:00:00" maxDate="1999-10-06T00:00:00"/>
    </cacheField>
    <cacheField name="GenVLookup " numFmtId="0">
      <sharedItems/>
    </cacheField>
    <cacheField name="GenVBA " numFmtId="0">
      <sharedItems/>
    </cacheField>
    <cacheField name="yearfrac " numFmtId="2">
      <sharedItems containsSemiMixedTypes="0" containsString="0" containsNumber="1" minValue="26.125" maxValue="65.708333333333329"/>
    </cacheField>
    <cacheField name="age_groupVLookup " numFmtId="0">
      <sharedItems count="6">
        <s v="61 - 69"/>
        <s v="56 - 60"/>
        <s v="31 - 40"/>
        <s v="51 - 55"/>
        <s v="41 - 50"/>
        <s v="26 -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กันตภณ"/>
    <s v="ซ่อนกลิ่น"/>
    <x v="0"/>
    <d v="1994-03-05T00:00:00"/>
    <x v="0"/>
    <s v="Gen Y"/>
    <x v="0"/>
    <x v="0"/>
    <n v="13000"/>
    <d v="2016-02-28T00:00:00"/>
    <d v="2016-08-26T00:00:00"/>
    <s v="normal"/>
    <n v="9.68"/>
    <s v="9 ปี 8 เดือน 3 วัน"/>
  </r>
  <r>
    <s v="เกศินี"/>
    <s v="สายหยุด"/>
    <x v="1"/>
    <d v="1968-12-06T00:00:00"/>
    <x v="1"/>
    <s v="Gen X"/>
    <x v="1"/>
    <x v="1"/>
    <n v="40000"/>
    <d v="1987-11-30T00:00:00"/>
    <d v="1988-05-28T00:00:00"/>
    <s v="normal"/>
    <n v="37.92"/>
    <s v="37 ปี 11 เดือน 1 วัน"/>
  </r>
  <r>
    <s v="ชัชลัญญา"/>
    <s v="ลั่นทม"/>
    <x v="1"/>
    <d v="1987-06-01T00:00:00"/>
    <x v="0"/>
    <s v="Gen Y"/>
    <x v="1"/>
    <x v="1"/>
    <n v="25000"/>
    <d v="2009-05-26T00:00:00"/>
    <d v="2009-11-22T00:00:00"/>
    <s v="normal"/>
    <n v="16.43"/>
    <s v="16 ปี 5 เดือน 5 วัน"/>
  </r>
  <r>
    <s v="ชาติไทย"/>
    <s v="เสี้ยวดอกแดง"/>
    <x v="0"/>
    <d v="1991-07-27T00:00:00"/>
    <x v="0"/>
    <s v="Gen Y"/>
    <x v="2"/>
    <x v="2"/>
    <n v="39000"/>
    <d v="2015-07-21T00:00:00"/>
    <d v="2016-01-17T00:00:00"/>
    <s v="normal"/>
    <n v="10.28"/>
    <s v="10 ปี 3 เดือน 10 วัน"/>
  </r>
  <r>
    <s v="โชติมา"/>
    <s v="อรคนธ์"/>
    <x v="1"/>
    <d v="1974-08-21T00:00:00"/>
    <x v="1"/>
    <s v="Gen X"/>
    <x v="3"/>
    <x v="2"/>
    <n v="82500"/>
    <d v="2007-09-18T00:00:00"/>
    <d v="2008-03-16T00:00:00"/>
    <s v="normal"/>
    <n v="18.12"/>
    <s v="18 ปี 1 เดือน 13 วัน"/>
  </r>
  <r>
    <s v="ฐิติรัตน์"/>
    <s v="ตันหยง"/>
    <x v="1"/>
    <d v="1975-08-15T00:00:00"/>
    <x v="1"/>
    <s v="Gen X"/>
    <x v="2"/>
    <x v="0"/>
    <n v="38000"/>
    <d v="1996-08-09T00:00:00"/>
    <d v="1997-02-05T00:00:00"/>
    <s v="normal"/>
    <n v="29.23"/>
    <s v="29 ปี 2 เดือน 22 วัน"/>
  </r>
  <r>
    <s v="ณภัทร"/>
    <s v="มณฑา"/>
    <x v="0"/>
    <d v="1963-11-08T00:00:00"/>
    <x v="2"/>
    <s v="Biby Boomer"/>
    <x v="2"/>
    <x v="1"/>
    <n v="35000"/>
    <d v="1984-11-02T00:00:00"/>
    <d v="1985-05-01T00:00:00"/>
    <s v="normal"/>
    <n v="41"/>
    <s v="40 ปี 11 เดือน 29 วัน"/>
  </r>
  <r>
    <s v="ณัชชา"/>
    <s v="สนสร้อย"/>
    <x v="1"/>
    <d v="1983-06-17T00:00:00"/>
    <x v="0"/>
    <s v="Gen Y"/>
    <x v="4"/>
    <x v="3"/>
    <n v="21000"/>
    <d v="2017-03-11T00:00:00"/>
    <d v="2017-09-07T00:00:00"/>
    <s v="normal"/>
    <n v="8.64"/>
    <s v="8 ปี 7 เดือน 20 วัน"/>
  </r>
  <r>
    <s v="ณัฐญาณิน"/>
    <s v="มะลิลา"/>
    <x v="1"/>
    <d v="1987-02-11T00:00:00"/>
    <x v="0"/>
    <s v="Gen Y"/>
    <x v="0"/>
    <x v="2"/>
    <n v="36000"/>
    <d v="2012-02-05T00:00:00"/>
    <d v="2012-08-03T00:00:00"/>
    <s v="normal"/>
    <n v="13.74"/>
    <s v="13 ปี 8 เดือน 26 วัน"/>
  </r>
  <r>
    <s v="ณิชา"/>
    <s v="ประดู่"/>
    <x v="1"/>
    <d v="1962-04-03T00:00:00"/>
    <x v="2"/>
    <s v="Biby Boomer"/>
    <x v="2"/>
    <x v="0"/>
    <n v="25000"/>
    <d v="2017-03-28T00:00:00"/>
    <d v="2017-09-24T00:00:00"/>
    <s v="normal"/>
    <n v="8.59"/>
    <s v="8 ปี 7 เดือน 3 วัน"/>
  </r>
  <r>
    <s v="ณิรดา"/>
    <s v="คัดเค้าเครือ"/>
    <x v="1"/>
    <d v="1972-04-27T00:00:00"/>
    <x v="1"/>
    <s v="Gen X"/>
    <x v="0"/>
    <x v="2"/>
    <n v="101500"/>
    <d v="2001-10-29T00:00:00"/>
    <d v="2002-04-27T00:00:00"/>
    <s v="normal"/>
    <n v="24.01"/>
    <s v="24 ปี 0 เดือน 2 วัน"/>
  </r>
  <r>
    <s v="เดชชัย"/>
    <s v="พุทธชาติสามสี"/>
    <x v="0"/>
    <d v="1983-05-13T00:00:00"/>
    <x v="0"/>
    <s v="Gen Y"/>
    <x v="1"/>
    <x v="2"/>
    <n v="77500"/>
    <d v="2004-03-08T00:00:00"/>
    <d v="2004-09-04T00:00:00"/>
    <s v="normal"/>
    <n v="21.65"/>
    <s v="21 ปี 7 เดือน 23 วัน"/>
  </r>
  <r>
    <s v="ธนโชติ"/>
    <s v="พลับพลึง"/>
    <x v="0"/>
    <d v="1973-01-31T00:00:00"/>
    <x v="1"/>
    <s v="Gen X"/>
    <x v="5"/>
    <x v="1"/>
    <n v="50500"/>
    <d v="2005-04-17T00:00:00"/>
    <d v="2005-10-14T00:00:00"/>
    <s v="normal"/>
    <n v="20.54"/>
    <s v="20 ปี 6 เดือน 14 วัน"/>
  </r>
  <r>
    <s v="ธนัชเศรษฐ์"/>
    <s v="กุมาริกา"/>
    <x v="0"/>
    <d v="1992-06-13T00:00:00"/>
    <x v="0"/>
    <s v="Gen Y"/>
    <x v="3"/>
    <x v="2"/>
    <n v="16000"/>
    <d v="2017-01-05T00:00:00"/>
    <d v="2017-07-04T00:00:00"/>
    <s v="normal"/>
    <n v="8.82"/>
    <s v="8 ปี 9 เดือน 26 วัน"/>
  </r>
  <r>
    <s v="ปกฉัตร"/>
    <s v="หิรัญญิการ์"/>
    <x v="1"/>
    <d v="1968-05-12T00:00:00"/>
    <x v="1"/>
    <s v="Gen X"/>
    <x v="1"/>
    <x v="3"/>
    <n v="73000"/>
    <d v="2004-03-20T00:00:00"/>
    <d v="2004-09-16T00:00:00"/>
    <s v="normal"/>
    <n v="21.61"/>
    <s v="21 ปี 7 เดือน 11 วัน"/>
  </r>
  <r>
    <s v="พลอยไพลิน"/>
    <s v="แสลงพัน"/>
    <x v="1"/>
    <d v="1961-12-20T00:00:00"/>
    <x v="2"/>
    <s v="Biby Boomer"/>
    <x v="1"/>
    <x v="3"/>
    <n v="75000"/>
    <d v="2003-09-27T00:00:00"/>
    <d v="2004-03-25T00:00:00"/>
    <s v="normal"/>
    <n v="22.09"/>
    <s v="22 ปี 1 เดือน 4 วัน"/>
  </r>
  <r>
    <s v="ภวัต"/>
    <s v="ราชาวดี"/>
    <x v="0"/>
    <d v="1993-08-19T00:00:00"/>
    <x v="0"/>
    <s v="Gen Y"/>
    <x v="2"/>
    <x v="2"/>
    <n v="40000"/>
    <d v="2015-08-13T00:00:00"/>
    <d v="2016-02-09T00:00:00"/>
    <s v="normal"/>
    <n v="10.220000000000001"/>
    <s v="10 ปี 2 เดือน 18 วัน"/>
  </r>
  <r>
    <s v="ภัทรภณ"/>
    <s v="เถาวัลย์เปรียง"/>
    <x v="0"/>
    <d v="1964-04-21T00:00:00"/>
    <x v="2"/>
    <s v="Biby Boomer"/>
    <x v="1"/>
    <x v="0"/>
    <n v="27000"/>
    <d v="1985-04-16T00:00:00"/>
    <d v="1985-10-13T00:00:00"/>
    <s v="normal"/>
    <n v="40.54"/>
    <s v="40 ปี 6 เดือน 15 วัน"/>
  </r>
  <r>
    <s v="เมธาปวีณ์"/>
    <s v="ยี่หุบ"/>
    <x v="1"/>
    <d v="1963-07-20T00:00:00"/>
    <x v="2"/>
    <s v="Biby Boomer"/>
    <x v="1"/>
    <x v="2"/>
    <n v="10000"/>
    <d v="1987-07-14T00:00:00"/>
    <d v="1988-01-10T00:00:00"/>
    <s v="normal"/>
    <n v="38.299999999999997"/>
    <s v="38 ปี 3 เดือน 17 วัน"/>
  </r>
  <r>
    <s v="วารี"/>
    <s v="บานเย็น"/>
    <x v="1"/>
    <d v="1999-10-05T00:00:00"/>
    <x v="3"/>
    <s v="Gen Z"/>
    <x v="2"/>
    <x v="4"/>
    <n v="24000"/>
    <d v="2009-02-17T00:00:00"/>
    <d v="2009-08-16T00:00:00"/>
    <s v="normal"/>
    <n v="16.71"/>
    <s v="16 ปี 8 เดือน 14 วัน"/>
  </r>
  <r>
    <s v="วีรยุทธ์"/>
    <s v="มะลิวัลย์"/>
    <x v="0"/>
    <d v="1974-10-23T00:00:00"/>
    <x v="1"/>
    <s v="Gen X"/>
    <x v="4"/>
    <x v="0"/>
    <n v="36500"/>
    <d v="2007-01-31T00:00:00"/>
    <d v="2007-07-30T00:00:00"/>
    <s v="normal"/>
    <n v="18.75"/>
    <s v="18 ปี 9 เดือน 0 วัน"/>
  </r>
  <r>
    <s v="ศนิดา"/>
    <s v="หางไหล"/>
    <x v="1"/>
    <d v="1960-12-02T00:00:00"/>
    <x v="2"/>
    <s v="Biby Boomer"/>
    <x v="0"/>
    <x v="1"/>
    <n v="106000"/>
    <d v="2007-06-23T00:00:00"/>
    <d v="2007-12-20T00:00:00"/>
    <s v="normal"/>
    <n v="18.36"/>
    <s v="18 ปี 4 เดือน 8 วัน"/>
  </r>
  <r>
    <s v="ศวิตา"/>
    <s v="พุด"/>
    <x v="1"/>
    <d v="1975-10-09T00:00:00"/>
    <x v="1"/>
    <s v="Gen X"/>
    <x v="3"/>
    <x v="1"/>
    <n v="25000"/>
    <d v="1997-10-03T00:00:00"/>
    <d v="1998-04-01T00:00:00"/>
    <s v="normal"/>
    <n v="28.08"/>
    <s v="28 ปี 0 เดือน 28 วัน"/>
  </r>
  <r>
    <s v="ศศิน"/>
    <s v="ราตรี"/>
    <x v="1"/>
    <d v="1985-06-02T00:00:00"/>
    <x v="0"/>
    <s v="Gen Y"/>
    <x v="0"/>
    <x v="3"/>
    <n v="11000"/>
    <d v="2007-05-28T00:00:00"/>
    <d v="2007-11-24T00:00:00"/>
    <s v="normal"/>
    <n v="18.43"/>
    <s v="18 ปี 5 เดือน 3 วัน"/>
  </r>
  <r>
    <s v="ศิรดา"/>
    <s v="กระดังงา"/>
    <x v="1"/>
    <d v="1964-04-19T00:00:00"/>
    <x v="2"/>
    <s v="Biby Boomer"/>
    <x v="2"/>
    <x v="1"/>
    <n v="23500"/>
    <d v="2007-04-15T00:00:00"/>
    <d v="2007-10-12T00:00:00"/>
    <s v="normal"/>
    <n v="18.54"/>
    <s v="18 ปี 6 เดือน 16 วัน"/>
  </r>
  <r>
    <s v="เศรษฐโชค"/>
    <s v="ชำมะนาด"/>
    <x v="0"/>
    <d v="1974-08-18T00:00:00"/>
    <x v="1"/>
    <s v="Gen X"/>
    <x v="5"/>
    <x v="1"/>
    <n v="15000"/>
    <d v="1997-08-12T00:00:00"/>
    <d v="1998-02-08T00:00:00"/>
    <s v="normal"/>
    <n v="28.22"/>
    <s v="28 ปี 2 เดือน 19 วัน"/>
  </r>
  <r>
    <s v="สกณัฐ"/>
    <s v="มหาหงษ์"/>
    <x v="0"/>
    <d v="1994-08-25T00:00:00"/>
    <x v="0"/>
    <s v="Gen Y"/>
    <x v="1"/>
    <x v="3"/>
    <n v="10000"/>
    <d v="2014-08-19T00:00:00"/>
    <d v="2015-02-15T00:00:00"/>
    <s v="normal"/>
    <n v="11.2"/>
    <s v="11 ปี 2 เดือน 12 วัน"/>
  </r>
  <r>
    <s v="สีหชาติ"/>
    <s v="กฤษณา"/>
    <x v="0"/>
    <d v="1975-11-28T00:00:00"/>
    <x v="1"/>
    <s v="Gen X"/>
    <x v="1"/>
    <x v="0"/>
    <n v="72000"/>
    <d v="2004-05-17T00:00:00"/>
    <d v="2004-11-13T00:00:00"/>
    <s v="normal"/>
    <n v="21.46"/>
    <s v="21 ปี 5 เดือน 14 วัน"/>
  </r>
  <r>
    <s v="สุกัญญา"/>
    <s v="จันทน์กะพ้อ"/>
    <x v="1"/>
    <d v="1980-03-20T00:00:00"/>
    <x v="0"/>
    <s v="Gen Y"/>
    <x v="2"/>
    <x v="2"/>
    <n v="26000"/>
    <d v="2004-03-14T00:00:00"/>
    <d v="2004-09-10T00:00:00"/>
    <s v="normal"/>
    <n v="21.63"/>
    <s v="21 ปี 7 เดือน 17 วัน"/>
  </r>
  <r>
    <s v="เสฐียรพงษ์"/>
    <s v="ปริก"/>
    <x v="0"/>
    <d v="1998-05-11T00:00:00"/>
    <x v="3"/>
    <s v="Gen Z"/>
    <x v="2"/>
    <x v="2"/>
    <n v="18500"/>
    <d v="2017-03-09T00:00:00"/>
    <d v="2017-09-05T00:00:00"/>
    <s v="normal"/>
    <n v="8.64"/>
    <s v="8 ปี 7 เดือน 22 วัน"/>
  </r>
  <r>
    <s v="อลิษา"/>
    <s v="ยี่หุบหนู"/>
    <x v="1"/>
    <d v="1964-05-22T00:00:00"/>
    <x v="2"/>
    <s v="Biby Boomer"/>
    <x v="1"/>
    <x v="2"/>
    <n v="40000"/>
    <d v="1985-05-17T00:00:00"/>
    <d v="1985-11-13T00:00:00"/>
    <s v="normal"/>
    <n v="40.46"/>
    <s v="40 ปี 5 เดือน 14 วัน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ซ่อนกลิ่น"/>
    <x v="0"/>
    <d v="1994-03-05T00:00:00"/>
    <n v="31.683333333333334"/>
    <s v="31ปี 8 เดือน 6วัน"/>
    <d v="2016-02-28T00:00:00"/>
    <n v="9.7027777777777775"/>
    <x v="0"/>
    <x v="0"/>
    <n v="13000"/>
    <d v="2016-02-28T00:00:00"/>
    <d v="2016-08-26T00:00:00"/>
    <s v="normal"/>
    <s v="9 ปี 8 เดือน 3 วัน"/>
  </r>
  <r>
    <x v="1"/>
    <s v="สายหยุด"/>
    <x v="1"/>
    <d v="1968-12-06T00:00:00"/>
    <n v="56.930555555555557"/>
    <s v="56ปี 11 เดือน 5วัน"/>
    <d v="1987-11-30T00:00:00"/>
    <n v="37.947222222222223"/>
    <x v="1"/>
    <x v="1"/>
    <n v="40000"/>
    <d v="1987-11-30T00:00:00"/>
    <d v="1988-05-28T00:00:00"/>
    <s v="normal"/>
    <s v="37 ปี 11 เดือน 1 วัน"/>
  </r>
  <r>
    <x v="2"/>
    <s v="ลั่นทม"/>
    <x v="1"/>
    <d v="1987-06-01T00:00:00"/>
    <n v="38.444444444444443"/>
    <s v="38ปี 5 เดือน 10วัน"/>
    <d v="2009-05-26T00:00:00"/>
    <n v="16.458333333333332"/>
    <x v="1"/>
    <x v="1"/>
    <n v="25000"/>
    <d v="2009-05-26T00:00:00"/>
    <d v="2009-11-22T00:00:00"/>
    <s v="normal"/>
    <s v="16 ปี 5 เดือน 5 วัน"/>
  </r>
  <r>
    <x v="3"/>
    <s v="เสี้ยวดอกแดง"/>
    <x v="0"/>
    <d v="1991-07-27T00:00:00"/>
    <n v="34.288888888888891"/>
    <s v="34ปี 3 เดือน 15วัน"/>
    <d v="2015-07-21T00:00:00"/>
    <n v="10.305555555555555"/>
    <x v="2"/>
    <x v="2"/>
    <n v="39000"/>
    <d v="2015-07-21T00:00:00"/>
    <d v="2016-01-17T00:00:00"/>
    <s v="normal"/>
    <s v="10 ปี 3 เดือน 10 วัน"/>
  </r>
  <r>
    <x v="4"/>
    <s v="อรคนธ์"/>
    <x v="1"/>
    <d v="1974-08-21T00:00:00"/>
    <n v="51.222222222222221"/>
    <s v="51ปี 2 เดือน 21วัน"/>
    <d v="2007-09-18T00:00:00"/>
    <n v="18.147222222222222"/>
    <x v="3"/>
    <x v="2"/>
    <n v="82500"/>
    <d v="2007-09-18T00:00:00"/>
    <d v="2008-03-16T00:00:00"/>
    <s v="normal"/>
    <s v="18 ปี 1 เดือน 13 วัน"/>
  </r>
  <r>
    <x v="5"/>
    <s v="ตันหยง"/>
    <x v="1"/>
    <d v="1975-08-15T00:00:00"/>
    <n v="50.238888888888887"/>
    <s v="50ปี 2 เดือน 27วัน"/>
    <d v="1996-08-09T00:00:00"/>
    <n v="29.255555555555556"/>
    <x v="2"/>
    <x v="0"/>
    <n v="38000"/>
    <d v="1996-08-09T00:00:00"/>
    <d v="1997-02-05T00:00:00"/>
    <s v="normal"/>
    <s v="29 ปี 2 เดือน 22 วัน"/>
  </r>
  <r>
    <x v="6"/>
    <s v="มณฑา"/>
    <x v="0"/>
    <d v="1963-11-08T00:00:00"/>
    <n v="62.008333333333333"/>
    <s v="62ปี 0 เดือน 3วัน"/>
    <d v="1984-11-02T00:00:00"/>
    <n v="41.024999999999999"/>
    <x v="2"/>
    <x v="1"/>
    <n v="35000"/>
    <d v="1984-11-02T00:00:00"/>
    <d v="1985-05-01T00:00:00"/>
    <s v="normal"/>
    <s v="40 ปี 11 เดือน 29 วัน"/>
  </r>
  <r>
    <x v="7"/>
    <s v="สนสร้อย"/>
    <x v="1"/>
    <d v="1983-06-17T00:00:00"/>
    <n v="42.4"/>
    <s v="42ปี 4 เดือน 25วัน"/>
    <d v="2017-03-11T00:00:00"/>
    <n v="8.6666666666666661"/>
    <x v="4"/>
    <x v="3"/>
    <n v="21000"/>
    <d v="2017-03-11T00:00:00"/>
    <d v="2017-09-07T00:00:00"/>
    <s v="normal"/>
    <s v="8 ปี 7 เดือน 20 วัน"/>
  </r>
  <r>
    <x v="8"/>
    <s v="มะลิลา"/>
    <x v="1"/>
    <d v="1987-02-11T00:00:00"/>
    <n v="38.75"/>
    <s v="38ปี 9 เดือน 0วัน"/>
    <d v="2012-02-05T00:00:00"/>
    <n v="13.766666666666667"/>
    <x v="0"/>
    <x v="2"/>
    <n v="36000"/>
    <d v="2012-02-05T00:00:00"/>
    <d v="2012-08-03T00:00:00"/>
    <s v="normal"/>
    <s v="13 ปี 8 เดือน 26 วัน"/>
  </r>
  <r>
    <x v="9"/>
    <s v="ประดู่"/>
    <x v="1"/>
    <d v="1962-04-03T00:00:00"/>
    <n v="63.605555555555554"/>
    <s v="63ปี 7 เดือน 8วัน"/>
    <d v="2017-03-28T00:00:00"/>
    <n v="8.6194444444444436"/>
    <x v="2"/>
    <x v="0"/>
    <n v="25000"/>
    <d v="2017-03-28T00:00:00"/>
    <d v="2017-09-24T00:00:00"/>
    <s v="normal"/>
    <s v="8 ปี 7 เดือน 3 วัน"/>
  </r>
  <r>
    <x v="10"/>
    <s v="คัดเค้าเครือ"/>
    <x v="1"/>
    <d v="1972-04-27T00:00:00"/>
    <n v="53.538888888888891"/>
    <s v="53ปี 6 เดือน 15วัน"/>
    <d v="2001-10-29T00:00:00"/>
    <n v="24.033333333333335"/>
    <x v="0"/>
    <x v="2"/>
    <n v="101500"/>
    <d v="2001-10-29T00:00:00"/>
    <d v="2002-04-27T00:00:00"/>
    <s v="normal"/>
    <s v="24 ปี 0 เดือน 2 วัน"/>
  </r>
  <r>
    <x v="11"/>
    <s v="พุทธชาติสามสี"/>
    <x v="0"/>
    <d v="1983-05-13T00:00:00"/>
    <n v="42.494444444444447"/>
    <s v="42ปี 5 เดือน 29วัน"/>
    <d v="2004-03-08T00:00:00"/>
    <n v="21.675000000000001"/>
    <x v="1"/>
    <x v="2"/>
    <n v="77500"/>
    <d v="2004-03-08T00:00:00"/>
    <d v="2004-09-04T00:00:00"/>
    <s v="normal"/>
    <s v="21 ปี 7 เดือน 23 วัน"/>
  </r>
  <r>
    <x v="12"/>
    <s v="พลับพลึง"/>
    <x v="0"/>
    <d v="1973-01-31T00:00:00"/>
    <n v="52.780555555555559"/>
    <s v="52ปี 9 เดือน 11วัน"/>
    <d v="2005-04-17T00:00:00"/>
    <n v="20.566666666666666"/>
    <x v="5"/>
    <x v="1"/>
    <n v="50500"/>
    <d v="2005-04-17T00:00:00"/>
    <d v="2005-10-14T00:00:00"/>
    <s v="normal"/>
    <s v="20 ปี 6 เดือน 14 วัน"/>
  </r>
  <r>
    <x v="13"/>
    <s v="กุมาริกา"/>
    <x v="0"/>
    <d v="1992-06-13T00:00:00"/>
    <n v="33.411111111111111"/>
    <s v="33ปี 4 เดือน 29วัน"/>
    <d v="2017-01-05T00:00:00"/>
    <n v="8.85"/>
    <x v="3"/>
    <x v="2"/>
    <n v="16000"/>
    <d v="2017-01-05T00:00:00"/>
    <d v="2017-07-04T00:00:00"/>
    <s v="normal"/>
    <s v="8 ปี 9 เดือน 26 วัน"/>
  </r>
  <r>
    <x v="14"/>
    <s v="หิรัญญิการ์"/>
    <x v="1"/>
    <d v="1968-05-12T00:00:00"/>
    <n v="57.49722222222222"/>
    <s v="57ปี 5 เดือน 30วัน"/>
    <d v="2004-03-20T00:00:00"/>
    <n v="21.641666666666666"/>
    <x v="1"/>
    <x v="3"/>
    <n v="73000"/>
    <d v="2004-03-20T00:00:00"/>
    <d v="2004-09-16T00:00:00"/>
    <s v="normal"/>
    <s v="21 ปี 7 เดือน 11 วัน"/>
  </r>
  <r>
    <x v="15"/>
    <s v="แสลงพัน"/>
    <x v="1"/>
    <d v="1961-12-20T00:00:00"/>
    <n v="63.891666666666666"/>
    <s v="63ปี 10 เดือน 22วัน"/>
    <d v="2003-09-27T00:00:00"/>
    <n v="22.122222222222224"/>
    <x v="1"/>
    <x v="3"/>
    <n v="75000"/>
    <d v="2003-09-27T00:00:00"/>
    <d v="2004-03-25T00:00:00"/>
    <s v="normal"/>
    <s v="22 ปี 1 เดือน 4 วัน"/>
  </r>
  <r>
    <x v="16"/>
    <s v="ราชาวดี"/>
    <x v="0"/>
    <d v="1993-08-19T00:00:00"/>
    <n v="32.227777777777774"/>
    <s v="32ปี 2 เดือน 23วัน"/>
    <d v="2015-08-13T00:00:00"/>
    <n v="10.244444444444444"/>
    <x v="2"/>
    <x v="2"/>
    <n v="40000"/>
    <d v="2015-08-13T00:00:00"/>
    <d v="2016-02-09T00:00:00"/>
    <s v="normal"/>
    <s v="10 ปี 2 เดือน 18 วัน"/>
  </r>
  <r>
    <x v="17"/>
    <s v="เถาวัลย์เปรียง"/>
    <x v="0"/>
    <d v="1964-04-21T00:00:00"/>
    <n v="61.555555555555557"/>
    <s v="61ปี 6 เดือน 21วัน"/>
    <d v="1985-04-16T00:00:00"/>
    <n v="40.569444444444443"/>
    <x v="1"/>
    <x v="0"/>
    <n v="27000"/>
    <d v="1985-04-16T00:00:00"/>
    <d v="1985-10-13T00:00:00"/>
    <s v="normal"/>
    <s v="40 ปี 6 เดือน 15 วัน"/>
  </r>
  <r>
    <x v="18"/>
    <s v="ยี่หุบ"/>
    <x v="1"/>
    <d v="1963-07-20T00:00:00"/>
    <n v="62.30833333333333"/>
    <s v="62ปี 3 เดือน 22วัน"/>
    <d v="1987-07-14T00:00:00"/>
    <n v="38.325000000000003"/>
    <x v="1"/>
    <x v="2"/>
    <n v="10000"/>
    <d v="1987-07-14T00:00:00"/>
    <d v="1988-01-10T00:00:00"/>
    <s v="normal"/>
    <s v="38 ปี 3 เดือน 17 วัน"/>
  </r>
  <r>
    <x v="19"/>
    <s v="บานเย็น"/>
    <x v="1"/>
    <d v="1999-10-05T00:00:00"/>
    <n v="26.1"/>
    <s v="26ปี 1 เดือน 6วัน"/>
    <d v="2009-02-17T00:00:00"/>
    <n v="16.733333333333334"/>
    <x v="2"/>
    <x v="4"/>
    <n v="24000"/>
    <d v="2009-02-17T00:00:00"/>
    <d v="2009-08-16T00:00:00"/>
    <s v="normal"/>
    <s v="16 ปี 8 เดือน 14 วัน"/>
  </r>
  <r>
    <x v="20"/>
    <s v="มะลิวัลย์"/>
    <x v="0"/>
    <d v="1974-10-23T00:00:00"/>
    <n v="51.05"/>
    <s v="51ปี 0 เดือน 19วัน"/>
    <d v="2007-01-31T00:00:00"/>
    <n v="18.780555555555555"/>
    <x v="4"/>
    <x v="0"/>
    <n v="36500"/>
    <d v="2007-01-31T00:00:00"/>
    <d v="2007-07-30T00:00:00"/>
    <s v="normal"/>
    <s v="18 ปี 9 เดือน 0 วัน"/>
  </r>
  <r>
    <x v="21"/>
    <s v="หางไหล"/>
    <x v="1"/>
    <d v="1960-12-02T00:00:00"/>
    <n v="64.941666666666663"/>
    <s v="64ปี 11 เดือน 9วัน"/>
    <d v="2007-06-23T00:00:00"/>
    <n v="18.383333333333333"/>
    <x v="0"/>
    <x v="1"/>
    <n v="106000"/>
    <d v="2007-06-23T00:00:00"/>
    <d v="2007-12-20T00:00:00"/>
    <s v="normal"/>
    <s v="18 ปี 4 เดือน 8 วัน"/>
  </r>
  <r>
    <x v="22"/>
    <s v="พุด"/>
    <x v="1"/>
    <d v="1975-10-09T00:00:00"/>
    <n v="50.088888888888889"/>
    <s v="50ปี 1 เดือน 2วัน"/>
    <d v="1997-10-03T00:00:00"/>
    <n v="28.105555555555554"/>
    <x v="3"/>
    <x v="1"/>
    <n v="25000"/>
    <d v="1997-10-03T00:00:00"/>
    <d v="1998-04-01T00:00:00"/>
    <s v="normal"/>
    <s v="28 ปี 0 เดือน 28 วัน"/>
  </r>
  <r>
    <x v="23"/>
    <s v="ราตรี"/>
    <x v="1"/>
    <d v="1985-06-02T00:00:00"/>
    <n v="40.44166666666667"/>
    <s v="40ปี 5 เดือน 9วัน"/>
    <d v="2007-05-28T00:00:00"/>
    <n v="18.452777777777779"/>
    <x v="0"/>
    <x v="3"/>
    <n v="11000"/>
    <d v="2007-05-28T00:00:00"/>
    <d v="2007-11-24T00:00:00"/>
    <s v="normal"/>
    <s v="18 ปี 5 เดือน 3 วัน"/>
  </r>
  <r>
    <x v="24"/>
    <s v="กระดังงา"/>
    <x v="1"/>
    <d v="1964-04-19T00:00:00"/>
    <n v="61.56111111111111"/>
    <s v="61ปี 6 เดือน 23วัน"/>
    <d v="2007-04-15T00:00:00"/>
    <n v="18.572222222222223"/>
    <x v="2"/>
    <x v="1"/>
    <n v="23500"/>
    <d v="2007-04-15T00:00:00"/>
    <d v="2007-10-12T00:00:00"/>
    <s v="normal"/>
    <s v="18 ปี 6 เดือน 16 วัน"/>
  </r>
  <r>
    <x v="25"/>
    <s v="ชำมะนาด"/>
    <x v="0"/>
    <d v="1974-08-18T00:00:00"/>
    <n v="51.230555555555554"/>
    <s v="51ปี 2 เดือน 24วัน"/>
    <d v="1997-08-12T00:00:00"/>
    <n v="28.247222222222224"/>
    <x v="5"/>
    <x v="1"/>
    <n v="15000"/>
    <d v="1997-08-12T00:00:00"/>
    <d v="1998-02-08T00:00:00"/>
    <s v="normal"/>
    <s v="28 ปี 2 เดือน 19 วัน"/>
  </r>
  <r>
    <x v="26"/>
    <s v="มหาหงษ์"/>
    <x v="0"/>
    <d v="1994-08-25T00:00:00"/>
    <n v="31.211111111111112"/>
    <s v="31ปี 2 เดือน 17วัน"/>
    <d v="2014-08-19T00:00:00"/>
    <n v="11.227777777777778"/>
    <x v="1"/>
    <x v="3"/>
    <n v="10000"/>
    <d v="2014-08-19T00:00:00"/>
    <d v="2015-02-15T00:00:00"/>
    <s v="normal"/>
    <s v="11 ปี 2 เดือน 12 วัน"/>
  </r>
  <r>
    <x v="27"/>
    <s v="กฤษณา"/>
    <x v="0"/>
    <d v="1975-11-28T00:00:00"/>
    <n v="49.952777777777776"/>
    <s v="49ปี 11 เดือน 14วัน"/>
    <d v="2004-05-17T00:00:00"/>
    <n v="21.483333333333334"/>
    <x v="1"/>
    <x v="0"/>
    <n v="72000"/>
    <d v="2004-05-17T00:00:00"/>
    <d v="2004-11-13T00:00:00"/>
    <s v="normal"/>
    <s v="21 ปี 5 เดือน 14 วัน"/>
  </r>
  <r>
    <x v="28"/>
    <s v="จันทน์กะพ้อ"/>
    <x v="1"/>
    <d v="1980-03-20T00:00:00"/>
    <n v="45.641666666666666"/>
    <s v="45ปี 7 เดือน 22วัน"/>
    <d v="2004-03-14T00:00:00"/>
    <n v="21.658333333333335"/>
    <x v="2"/>
    <x v="2"/>
    <n v="26000"/>
    <d v="2004-03-14T00:00:00"/>
    <d v="2004-09-10T00:00:00"/>
    <s v="normal"/>
    <s v="21 ปี 7 เดือน 17 วัน"/>
  </r>
  <r>
    <x v="29"/>
    <s v="ปริก"/>
    <x v="0"/>
    <d v="1998-05-11T00:00:00"/>
    <n v="27.5"/>
    <s v="27ปี 6 เดือน 0วัน"/>
    <d v="2017-03-09T00:00:00"/>
    <n v="8.6722222222222225"/>
    <x v="2"/>
    <x v="2"/>
    <n v="18500"/>
    <d v="2017-03-09T00:00:00"/>
    <d v="2017-09-05T00:00:00"/>
    <s v="normal"/>
    <s v="8 ปี 7 เดือน 22 วัน"/>
  </r>
  <r>
    <x v="30"/>
    <s v="ยี่หุบหนู"/>
    <x v="1"/>
    <d v="1964-05-22T00:00:00"/>
    <n v="61.469444444444441"/>
    <s v="61ปี 5 เดือน 20วัน"/>
    <d v="1985-05-17T00:00:00"/>
    <n v="40.483333333333334"/>
    <x v="1"/>
    <x v="2"/>
    <n v="40000"/>
    <d v="1985-05-17T00:00:00"/>
    <d v="1985-11-13T00:00:00"/>
    <s v="normal"/>
    <s v="40 ปี 5 เดือน 14 วัน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กันตภณ"/>
    <s v="ซ่อนกลิ่น"/>
    <x v="0"/>
    <d v="1960-03-05T00:00:00"/>
    <s v="Baby boomer"/>
    <s v="Baby boomer"/>
    <n v="65.708333333333329"/>
    <x v="0"/>
  </r>
  <r>
    <s v="เกศินี"/>
    <s v="สายหยุด"/>
    <x v="1"/>
    <d v="1968-12-06T00:00:00"/>
    <s v="Gen X"/>
    <s v="Gen X"/>
    <n v="56.955555555555556"/>
    <x v="1"/>
  </r>
  <r>
    <s v="ชัชลัญญา"/>
    <s v="ลั่นทม"/>
    <x v="1"/>
    <d v="1987-06-01T00:00:00"/>
    <s v="Gen Y"/>
    <s v="Gen Y"/>
    <n v="38.469444444444441"/>
    <x v="2"/>
  </r>
  <r>
    <s v="ชาติไทย"/>
    <s v="เสี้ยวดอกแดง"/>
    <x v="0"/>
    <d v="1991-07-27T00:00:00"/>
    <s v="Gen Y"/>
    <s v="Gen Y"/>
    <n v="34.31388888888889"/>
    <x v="2"/>
  </r>
  <r>
    <s v="โชติมา"/>
    <s v="อรคนธ์"/>
    <x v="1"/>
    <d v="1974-08-21T00:00:00"/>
    <s v="Gen X"/>
    <s v="Gen X"/>
    <n v="51.24722222222222"/>
    <x v="3"/>
  </r>
  <r>
    <s v="ฐิติรัตน์"/>
    <s v="ตันหยง"/>
    <x v="1"/>
    <d v="1975-08-15T00:00:00"/>
    <s v="Gen X"/>
    <s v="Gen X"/>
    <n v="50.263888888888886"/>
    <x v="4"/>
  </r>
  <r>
    <s v="ณภัทร"/>
    <s v="มณฑา"/>
    <x v="0"/>
    <d v="1963-11-08T00:00:00"/>
    <s v="Baby boomer"/>
    <s v="Baby boomer"/>
    <n v="62.033333333333331"/>
    <x v="0"/>
  </r>
  <r>
    <s v="ณัชชา"/>
    <s v="สนสร้อย"/>
    <x v="1"/>
    <d v="1983-06-17T00:00:00"/>
    <s v="Gen Y"/>
    <s v="Gen Y"/>
    <n v="42.424999999999997"/>
    <x v="4"/>
  </r>
  <r>
    <s v="ณัฐญาณิน"/>
    <s v="มะลิลา"/>
    <x v="1"/>
    <d v="1987-02-11T00:00:00"/>
    <s v="Gen Y"/>
    <s v="Gen Y"/>
    <n v="38.774999999999999"/>
    <x v="2"/>
  </r>
  <r>
    <s v="ณิชา"/>
    <s v="ประดู่"/>
    <x v="1"/>
    <d v="1962-04-03T00:00:00"/>
    <s v="Baby boomer"/>
    <s v="Baby boomer"/>
    <n v="63.630555555555553"/>
    <x v="0"/>
  </r>
  <r>
    <s v="ณิรดา"/>
    <s v="คัดเค้าเครือ"/>
    <x v="1"/>
    <d v="1972-04-27T00:00:00"/>
    <s v="Gen X"/>
    <s v="Gen X"/>
    <n v="53.56388888888889"/>
    <x v="3"/>
  </r>
  <r>
    <s v="เดชชัย"/>
    <s v="พุทธชาติสามสี"/>
    <x v="0"/>
    <d v="1983-05-13T00:00:00"/>
    <s v="Gen Y"/>
    <s v="Gen Y"/>
    <n v="42.519444444444446"/>
    <x v="4"/>
  </r>
  <r>
    <s v="ธนโชติ"/>
    <s v="พลับพลึง"/>
    <x v="0"/>
    <d v="1973-01-31T00:00:00"/>
    <s v="Baby boomer"/>
    <s v="Baby boomer"/>
    <n v="52.805555555555557"/>
    <x v="3"/>
  </r>
  <r>
    <s v="ธนัชเศรษฐ์"/>
    <s v="กุมาริกา"/>
    <x v="0"/>
    <d v="1992-06-13T00:00:00"/>
    <s v="Gen Y"/>
    <s v="Gen Y"/>
    <n v="33.43611111111111"/>
    <x v="2"/>
  </r>
  <r>
    <s v="ปกฉัตร"/>
    <s v="หิรัญญิการ์"/>
    <x v="1"/>
    <d v="1968-05-12T00:00:00"/>
    <s v="Gen X"/>
    <s v="Gen X"/>
    <n v="57.522222222222226"/>
    <x v="1"/>
  </r>
  <r>
    <s v="พลอยไพลิน"/>
    <s v="แสลงพัน"/>
    <x v="1"/>
    <d v="1961-12-20T00:00:00"/>
    <s v="Baby boomer"/>
    <s v="Baby boomer"/>
    <n v="63.916666666666664"/>
    <x v="0"/>
  </r>
  <r>
    <s v="ภวัต"/>
    <s v="ราชาวดี"/>
    <x v="0"/>
    <d v="1993-08-19T00:00:00"/>
    <s v="Gen Y"/>
    <s v="Gen Y"/>
    <n v="32.25277777777778"/>
    <x v="2"/>
  </r>
  <r>
    <s v="ภัทรภณ"/>
    <s v="เถาวัลย์เปรียง"/>
    <x v="0"/>
    <d v="1964-04-21T00:00:00"/>
    <s v="Baby boomer"/>
    <s v="Baby boomer"/>
    <n v="61.580555555555556"/>
    <x v="0"/>
  </r>
  <r>
    <s v="เมธาปวีณ์"/>
    <s v="ยี่หุบ"/>
    <x v="1"/>
    <d v="1963-07-20T00:00:00"/>
    <s v="Baby boomer"/>
    <s v="Baby boomer"/>
    <n v="62.333333333333336"/>
    <x v="0"/>
  </r>
  <r>
    <s v="วารี"/>
    <s v="บานเย็น"/>
    <x v="1"/>
    <d v="1999-10-05T00:00:00"/>
    <s v="Gen Z"/>
    <s v="Gen Z"/>
    <n v="26.125"/>
    <x v="5"/>
  </r>
  <r>
    <s v="วีรยุทธ์"/>
    <s v="มะลิวัลย์"/>
    <x v="0"/>
    <d v="1974-10-23T00:00:00"/>
    <s v="Gen X"/>
    <s v="Gen X"/>
    <n v="51.075000000000003"/>
    <x v="3"/>
  </r>
  <r>
    <s v="ศนิดา"/>
    <s v="หางไหล"/>
    <x v="1"/>
    <d v="1960-12-02T00:00:00"/>
    <s v="Baby boomer"/>
    <s v="Baby boomer"/>
    <n v="64.966666666666669"/>
    <x v="0"/>
  </r>
  <r>
    <s v="ศวิตา"/>
    <s v="พุด"/>
    <x v="1"/>
    <d v="1975-10-09T00:00:00"/>
    <s v="Gen X"/>
    <s v="Gen X"/>
    <n v="50.113888888888887"/>
    <x v="4"/>
  </r>
  <r>
    <s v="ศศิน"/>
    <s v="ราตรี"/>
    <x v="1"/>
    <d v="1985-06-02T00:00:00"/>
    <s v="Gen Y"/>
    <s v="Gen Y"/>
    <n v="40.466666666666669"/>
    <x v="2"/>
  </r>
  <r>
    <s v="ศิรดา"/>
    <s v="กระดังงา"/>
    <x v="1"/>
    <d v="1964-04-19T00:00:00"/>
    <s v="Baby boomer"/>
    <s v="Baby boomer"/>
    <n v="61.586111111111109"/>
    <x v="0"/>
  </r>
  <r>
    <s v="เศรษฐโชค"/>
    <s v="ชำมะนาด"/>
    <x v="0"/>
    <d v="1974-08-18T00:00:00"/>
    <s v="Gen X"/>
    <s v="Gen X"/>
    <n v="51.255555555555553"/>
    <x v="3"/>
  </r>
  <r>
    <s v="สกณัฐ"/>
    <s v="มหาหงษ์"/>
    <x v="0"/>
    <d v="1994-08-25T00:00:00"/>
    <s v="Gen Y"/>
    <s v="Gen Y"/>
    <n v="31.236111111111111"/>
    <x v="2"/>
  </r>
  <r>
    <s v="สีหชาติ"/>
    <s v="กฤษณา"/>
    <x v="0"/>
    <d v="1975-11-28T00:00:00"/>
    <s v="Gen X"/>
    <s v="Gen X"/>
    <n v="49.977777777777774"/>
    <x v="4"/>
  </r>
  <r>
    <s v="สุกัญญา"/>
    <s v="จันทน์กะพ้อ"/>
    <x v="1"/>
    <d v="1980-03-20T00:00:00"/>
    <s v="Gen Y"/>
    <s v="Gen Y"/>
    <n v="45.666666666666664"/>
    <x v="4"/>
  </r>
  <r>
    <s v="เสฐียรพงษ์"/>
    <s v="ปริก"/>
    <x v="0"/>
    <d v="1998-05-11T00:00:00"/>
    <s v="Gen Z"/>
    <s v="Gen Z"/>
    <n v="27.524999999999999"/>
    <x v="5"/>
  </r>
  <r>
    <s v="อลิษา"/>
    <s v="ยี่หุบหนู"/>
    <x v="1"/>
    <d v="1964-05-22T00:00:00"/>
    <s v="Baby boomer"/>
    <s v="Baby boomer"/>
    <n v="61.49444444444444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2FA03-0F3B-4A6E-96ED-C9583B4C5487}" name="PivotTable2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2">
  <location ref="S126:W150" firstHeaderRow="1" firstDataRow="2" firstDataCol="2"/>
  <pivotFields count="15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90" showAll="0"/>
    <pivotField compact="0" numFmtId="2" showAll="0"/>
    <pivotField compact="0" showAll="0"/>
    <pivotField compact="0" numFmtId="190" showAll="0"/>
    <pivotField compact="0" numFmtId="2" showAll="0"/>
    <pivotField axis="axisRow" compact="0" showAll="0">
      <items count="7">
        <item x="5"/>
        <item x="0"/>
        <item x="1"/>
        <item x="4"/>
        <item x="2"/>
        <item x="3"/>
        <item t="default"/>
      </items>
    </pivotField>
    <pivotField axis="axisRow" compact="0" showAll="0">
      <items count="6">
        <item x="3"/>
        <item x="1"/>
        <item x="0"/>
        <item x="4"/>
        <item x="2"/>
        <item t="default"/>
      </items>
    </pivotField>
    <pivotField compact="0" numFmtId="3" showAll="0"/>
    <pivotField compact="0" numFmtId="190" showAll="0"/>
    <pivotField compact="0" numFmtId="190" showAll="0"/>
    <pivotField compact="0" showAll="0"/>
    <pivotField dataField="1" compact="0" showAll="0"/>
  </pivotFields>
  <rowFields count="2">
    <field x="9"/>
    <field x="8"/>
  </rowFields>
  <rowItems count="23">
    <i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>
      <x v="3"/>
    </i>
    <i r="1">
      <x v="4"/>
    </i>
    <i>
      <x v="4"/>
    </i>
    <i r="1">
      <x v="1"/>
    </i>
    <i r="1">
      <x v="2"/>
    </i>
    <i r="1">
      <x v="4"/>
    </i>
    <i r="1"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อายุงาน " fld="14" subtotal="count" baseField="9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B587F-EB54-4D59-BF1D-6ADDA19D268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K160:N168" firstHeaderRow="1" firstDataRow="2" firstDataCol="1"/>
  <pivotFields count="8">
    <pivotField dataField="1" showAll="0"/>
    <pivotField showAll="0"/>
    <pivotField axis="axisCol" showAll="0">
      <items count="3">
        <item x="1"/>
        <item x="0"/>
        <item t="default"/>
      </items>
    </pivotField>
    <pivotField numFmtId="190" showAll="0"/>
    <pivotField showAll="0"/>
    <pivotField showAll="0"/>
    <pivotField numFmtId="2" showAll="0"/>
    <pivotField axis="axisRow" showAll="0">
      <items count="7">
        <item x="5"/>
        <item x="2"/>
        <item x="4"/>
        <item x="3"/>
        <item x="1"/>
        <item x="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ชื่อ" fld="0" subtotal="count" baseField="0" baseItem="0"/>
  </dataFields>
  <chartFormats count="2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A9004-62DC-454E-A7ED-C42BDFC199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5">
  <location ref="R91:AO98" firstHeaderRow="1" firstDataRow="3" firstDataCol="1" rowPageCount="1" colPageCount="1"/>
  <pivotFields count="14">
    <pivotField dataField="1" showAll="0"/>
    <pivotField showAll="0"/>
    <pivotField axis="axisPage" showAll="0">
      <items count="3">
        <item x="1"/>
        <item x="0"/>
        <item t="default"/>
      </items>
    </pivotField>
    <pivotField numFmtId="190" showAll="0"/>
    <pivotField axis="axisRow"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7">
        <item x="5"/>
        <item x="0"/>
        <item x="1"/>
        <item x="4"/>
        <item x="2"/>
        <item x="3"/>
        <item t="default"/>
      </items>
    </pivotField>
    <pivotField axis="axisCol" showAll="0">
      <items count="6">
        <item x="3"/>
        <item x="1"/>
        <item x="0"/>
        <item x="4"/>
        <item x="2"/>
        <item t="default"/>
      </items>
    </pivotField>
    <pivotField numFmtId="3" showAll="0"/>
    <pivotField numFmtId="190" showAll="0"/>
    <pivotField numFmtId="190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6"/>
  </colFields>
  <colItems count="23">
    <i>
      <x/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4"/>
    </i>
    <i r="1">
      <x v="5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>
      <x v="3"/>
      <x v="4"/>
    </i>
    <i t="default">
      <x v="3"/>
    </i>
    <i>
      <x v="4"/>
      <x v="1"/>
    </i>
    <i r="1">
      <x v="2"/>
    </i>
    <i r="1">
      <x v="4"/>
    </i>
    <i r="1">
      <x v="5"/>
    </i>
    <i t="default">
      <x v="4"/>
    </i>
    <i t="grand">
      <x/>
    </i>
  </colItems>
  <pageFields count="1">
    <pageField fld="2" hier="-1"/>
  </pageFields>
  <dataFields count="1">
    <dataField name="Count of ชื่อ" fld="0" subtotal="count" baseField="0" baseItem="0"/>
  </dataFields>
  <chartFormats count="17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7" count="1" selected="0">
            <x v="0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7" count="1" selected="0">
            <x v="1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7" count="1" selected="0">
            <x v="1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2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2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7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7" count="1" selected="0">
            <x v="2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7" count="1" selected="0">
            <x v="3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7" count="1" selected="0">
            <x v="4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45CC-52E9-4783-9003-08671B8F29AA}">
  <dimension ref="B2:J30"/>
  <sheetViews>
    <sheetView zoomScaleNormal="100" workbookViewId="0">
      <selection activeCell="F26" sqref="F26"/>
    </sheetView>
  </sheetViews>
  <sheetFormatPr defaultRowHeight="13.75" x14ac:dyDescent="0.3"/>
  <cols>
    <col min="1" max="1" width="9.640625" bestFit="1" customWidth="1"/>
    <col min="2" max="2" width="7.640625" bestFit="1" customWidth="1"/>
  </cols>
  <sheetData>
    <row r="2" spans="2:10" ht="17.149999999999999" x14ac:dyDescent="0.55000000000000004">
      <c r="B2" s="2" t="s">
        <v>0</v>
      </c>
      <c r="C2" s="2" t="s">
        <v>1</v>
      </c>
      <c r="D2" s="2" t="s">
        <v>0</v>
      </c>
      <c r="E2" s="41" t="s">
        <v>1</v>
      </c>
      <c r="F2" s="2" t="s">
        <v>2</v>
      </c>
      <c r="G2" s="2" t="s">
        <v>3</v>
      </c>
    </row>
    <row r="3" spans="2:10" ht="17.149999999999999" x14ac:dyDescent="0.55000000000000004">
      <c r="B3" s="1" t="s">
        <v>5</v>
      </c>
      <c r="C3" s="3">
        <v>3700</v>
      </c>
      <c r="D3" s="1" t="s">
        <v>5</v>
      </c>
      <c r="E3" s="68">
        <f>C3/C$15</f>
        <v>0.10070219367481356</v>
      </c>
      <c r="F3">
        <f>B18/B$30</f>
        <v>9.5285149632975713E-2</v>
      </c>
      <c r="G3">
        <f>C18/C$30</f>
        <v>9.765625E-2</v>
      </c>
    </row>
    <row r="4" spans="2:10" ht="17.149999999999999" x14ac:dyDescent="0.55000000000000004">
      <c r="B4" s="1" t="s">
        <v>6</v>
      </c>
      <c r="C4" s="3">
        <v>2920</v>
      </c>
      <c r="D4" s="1" t="s">
        <v>6</v>
      </c>
      <c r="E4" s="68">
        <f t="shared" ref="E4:E14" si="0">C4/C$15</f>
        <v>7.9473082575798812E-2</v>
      </c>
      <c r="F4">
        <f t="shared" ref="F4:F14" si="1">B19/B$30</f>
        <v>7.4110671936758896E-2</v>
      </c>
      <c r="G4">
        <f t="shared" ref="G4:G14" si="2">C19/C$30</f>
        <v>8.10546875E-2</v>
      </c>
    </row>
    <row r="5" spans="2:10" ht="17.149999999999999" x14ac:dyDescent="0.55000000000000004">
      <c r="B5" s="1" t="s">
        <v>7</v>
      </c>
      <c r="C5" s="3">
        <v>2750</v>
      </c>
      <c r="D5" s="1" t="s">
        <v>7</v>
      </c>
      <c r="E5" s="68">
        <f t="shared" si="0"/>
        <v>7.4846225028577656E-2</v>
      </c>
      <c r="F5">
        <f t="shared" si="1"/>
        <v>7.0228684359119137E-2</v>
      </c>
      <c r="G5">
        <f t="shared" si="2"/>
        <v>8.3789062499999997E-2</v>
      </c>
    </row>
    <row r="6" spans="2:10" ht="17.149999999999999" x14ac:dyDescent="0.55000000000000004">
      <c r="B6" s="1" t="s">
        <v>8</v>
      </c>
      <c r="C6" s="3">
        <v>3300</v>
      </c>
      <c r="D6" s="1" t="s">
        <v>8</v>
      </c>
      <c r="E6" s="68">
        <f t="shared" si="0"/>
        <v>8.9815470034293174E-2</v>
      </c>
      <c r="F6">
        <f t="shared" si="1"/>
        <v>8.8226990400903441E-2</v>
      </c>
      <c r="G6">
        <f t="shared" si="2"/>
        <v>9.27734375E-2</v>
      </c>
    </row>
    <row r="7" spans="2:10" ht="17.149999999999999" x14ac:dyDescent="0.55000000000000004">
      <c r="B7" s="1" t="s">
        <v>9</v>
      </c>
      <c r="C7" s="3">
        <v>2700</v>
      </c>
      <c r="D7" s="1" t="s">
        <v>9</v>
      </c>
      <c r="E7" s="68">
        <f t="shared" si="0"/>
        <v>7.3485384573512599E-2</v>
      </c>
      <c r="F7">
        <f t="shared" si="1"/>
        <v>6.959345002823264E-2</v>
      </c>
      <c r="G7">
        <f t="shared" si="2"/>
        <v>6.591796875E-2</v>
      </c>
    </row>
    <row r="8" spans="2:10" ht="17.149999999999999" x14ac:dyDescent="0.55000000000000004">
      <c r="B8" s="1" t="s">
        <v>10</v>
      </c>
      <c r="C8" s="3">
        <v>2520</v>
      </c>
      <c r="D8" s="1" t="s">
        <v>10</v>
      </c>
      <c r="E8" s="68">
        <f t="shared" si="0"/>
        <v>6.8586358935278424E-2</v>
      </c>
      <c r="F8">
        <f t="shared" si="1"/>
        <v>7.3051948051948049E-2</v>
      </c>
      <c r="G8">
        <f t="shared" si="2"/>
        <v>7.7343750000000003E-2</v>
      </c>
    </row>
    <row r="9" spans="2:10" ht="17.149999999999999" x14ac:dyDescent="0.55000000000000004">
      <c r="B9" s="1" t="s">
        <v>11</v>
      </c>
      <c r="C9" s="3">
        <v>2790</v>
      </c>
      <c r="D9" s="1" t="s">
        <v>11</v>
      </c>
      <c r="E9" s="68">
        <f t="shared" si="0"/>
        <v>7.5934897392629694E-2</v>
      </c>
      <c r="F9">
        <f t="shared" si="1"/>
        <v>8.2580463015245617E-2</v>
      </c>
      <c r="G9">
        <f t="shared" si="2"/>
        <v>6.3281249999999997E-2</v>
      </c>
    </row>
    <row r="10" spans="2:10" ht="17.149999999999999" x14ac:dyDescent="0.55000000000000004">
      <c r="B10" s="1" t="s">
        <v>12</v>
      </c>
      <c r="C10" s="3">
        <v>3000</v>
      </c>
      <c r="D10" s="1" t="s">
        <v>12</v>
      </c>
      <c r="E10" s="68">
        <f t="shared" si="0"/>
        <v>8.1650427303902887E-2</v>
      </c>
      <c r="F10">
        <f t="shared" si="1"/>
        <v>8.4697910784867311E-2</v>
      </c>
      <c r="G10">
        <f t="shared" si="2"/>
        <v>6.34765625E-2</v>
      </c>
    </row>
    <row r="11" spans="2:10" ht="17.149999999999999" x14ac:dyDescent="0.55000000000000004">
      <c r="B11" s="1" t="s">
        <v>13</v>
      </c>
      <c r="C11" s="3">
        <v>2982</v>
      </c>
      <c r="D11" s="1" t="s">
        <v>13</v>
      </c>
      <c r="E11" s="68">
        <f t="shared" si="0"/>
        <v>8.1160524740079468E-2</v>
      </c>
      <c r="F11">
        <f t="shared" si="1"/>
        <v>8.1521739130434784E-2</v>
      </c>
      <c r="G11">
        <f t="shared" si="2"/>
        <v>7.177734375E-2</v>
      </c>
    </row>
    <row r="12" spans="2:10" ht="17.149999999999999" x14ac:dyDescent="0.55000000000000004">
      <c r="B12" s="1" t="s">
        <v>14</v>
      </c>
      <c r="C12" s="3">
        <v>3564</v>
      </c>
      <c r="D12" s="1" t="s">
        <v>14</v>
      </c>
      <c r="E12" s="68">
        <f t="shared" si="0"/>
        <v>9.7000707637036637E-2</v>
      </c>
      <c r="F12">
        <f t="shared" si="1"/>
        <v>7.587521174477696E-2</v>
      </c>
      <c r="G12">
        <f t="shared" si="2"/>
        <v>8.203125E-2</v>
      </c>
    </row>
    <row r="13" spans="2:10" ht="17.149999999999999" x14ac:dyDescent="0.55000000000000004">
      <c r="B13" s="1" t="s">
        <v>15</v>
      </c>
      <c r="C13" s="3">
        <v>2952</v>
      </c>
      <c r="D13" s="1" t="s">
        <v>15</v>
      </c>
      <c r="E13" s="68">
        <f t="shared" si="0"/>
        <v>8.034402046704045E-2</v>
      </c>
      <c r="F13">
        <f t="shared" si="1"/>
        <v>8.8932806324110672E-2</v>
      </c>
      <c r="G13">
        <f t="shared" si="2"/>
        <v>9.7363281250000003E-2</v>
      </c>
    </row>
    <row r="14" spans="2:10" ht="17.149999999999999" x14ac:dyDescent="0.55000000000000004">
      <c r="B14" s="1" t="s">
        <v>16</v>
      </c>
      <c r="C14" s="3">
        <v>3564</v>
      </c>
      <c r="D14" s="1" t="s">
        <v>16</v>
      </c>
      <c r="E14" s="68">
        <f t="shared" si="0"/>
        <v>9.7000707637036637E-2</v>
      </c>
      <c r="F14">
        <f t="shared" si="1"/>
        <v>0.11589497459062677</v>
      </c>
      <c r="G14">
        <f t="shared" si="2"/>
        <v>0.12353515625</v>
      </c>
    </row>
    <row r="15" spans="2:10" ht="17.149999999999999" x14ac:dyDescent="0.55000000000000004">
      <c r="B15" s="1" t="s">
        <v>17</v>
      </c>
      <c r="C15" s="31">
        <f>SUM(C3:C14)</f>
        <v>36742</v>
      </c>
      <c r="D15" s="1" t="s">
        <v>17</v>
      </c>
      <c r="E15" s="69">
        <f>SUM(E3:E14)</f>
        <v>1</v>
      </c>
      <c r="J15" s="67"/>
    </row>
    <row r="17" spans="2:6" ht="17.149999999999999" x14ac:dyDescent="0.55000000000000004">
      <c r="B17" s="2" t="s">
        <v>2</v>
      </c>
      <c r="C17" s="2" t="s">
        <v>3</v>
      </c>
      <c r="F17">
        <f>130000000/7</f>
        <v>18571428.571428571</v>
      </c>
    </row>
    <row r="18" spans="2:6" ht="17.149999999999999" x14ac:dyDescent="0.55000000000000004">
      <c r="B18" s="3">
        <v>1350</v>
      </c>
      <c r="C18" s="3">
        <v>1000</v>
      </c>
    </row>
    <row r="19" spans="2:6" ht="17.149999999999999" x14ac:dyDescent="0.55000000000000004">
      <c r="B19" s="3">
        <v>1050</v>
      </c>
      <c r="C19" s="3">
        <v>830</v>
      </c>
    </row>
    <row r="20" spans="2:6" ht="17.149999999999999" x14ac:dyDescent="0.55000000000000004">
      <c r="B20" s="3">
        <v>995</v>
      </c>
      <c r="C20" s="3">
        <v>858</v>
      </c>
    </row>
    <row r="21" spans="2:6" ht="17.149999999999999" x14ac:dyDescent="0.55000000000000004">
      <c r="B21" s="3">
        <v>1250</v>
      </c>
      <c r="C21" s="3">
        <v>950</v>
      </c>
    </row>
    <row r="22" spans="2:6" ht="17.149999999999999" x14ac:dyDescent="0.55000000000000004">
      <c r="B22" s="3">
        <v>986</v>
      </c>
      <c r="C22" s="3">
        <v>675</v>
      </c>
    </row>
    <row r="23" spans="2:6" ht="17.149999999999999" x14ac:dyDescent="0.55000000000000004">
      <c r="B23" s="3">
        <v>1035</v>
      </c>
      <c r="C23" s="3">
        <v>792</v>
      </c>
    </row>
    <row r="24" spans="2:6" ht="17.149999999999999" x14ac:dyDescent="0.55000000000000004">
      <c r="B24" s="3">
        <v>1170</v>
      </c>
      <c r="C24" s="3">
        <v>648</v>
      </c>
    </row>
    <row r="25" spans="2:6" ht="17.149999999999999" x14ac:dyDescent="0.55000000000000004">
      <c r="B25" s="3">
        <v>1200</v>
      </c>
      <c r="C25" s="3">
        <v>650</v>
      </c>
    </row>
    <row r="26" spans="2:6" ht="17.149999999999999" x14ac:dyDescent="0.55000000000000004">
      <c r="B26" s="3">
        <v>1155</v>
      </c>
      <c r="C26" s="3">
        <v>735</v>
      </c>
    </row>
    <row r="27" spans="2:6" ht="17.149999999999999" x14ac:dyDescent="0.55000000000000004">
      <c r="B27" s="3">
        <v>1075</v>
      </c>
      <c r="C27" s="3">
        <v>840</v>
      </c>
    </row>
    <row r="28" spans="2:6" ht="17.149999999999999" x14ac:dyDescent="0.55000000000000004">
      <c r="B28" s="3">
        <v>1260</v>
      </c>
      <c r="C28" s="3">
        <v>997</v>
      </c>
    </row>
    <row r="29" spans="2:6" ht="17.149999999999999" x14ac:dyDescent="0.55000000000000004">
      <c r="B29" s="3">
        <v>1642</v>
      </c>
      <c r="C29" s="3">
        <v>1265</v>
      </c>
    </row>
    <row r="30" spans="2:6" ht="17.149999999999999" x14ac:dyDescent="0.55000000000000004">
      <c r="B30" s="53">
        <f>SUM(B18:B29)</f>
        <v>14168</v>
      </c>
      <c r="C30" s="53">
        <f t="shared" ref="C30" si="3">SUM(C18:C29)</f>
        <v>10240</v>
      </c>
    </row>
  </sheetData>
  <conditionalFormatting sqref="B18:B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C2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7C08-7B9C-4464-AE5D-FE03940548BE}">
  <dimension ref="A1:AO191"/>
  <sheetViews>
    <sheetView tabSelected="1" topLeftCell="A91" zoomScale="70" zoomScaleNormal="70" workbookViewId="0">
      <selection activeCell="K160" sqref="K160"/>
    </sheetView>
  </sheetViews>
  <sheetFormatPr defaultRowHeight="17.149999999999999" x14ac:dyDescent="0.55000000000000004"/>
  <cols>
    <col min="1" max="1" width="10.85546875" style="1" customWidth="1"/>
    <col min="2" max="2" width="12.2109375" style="1" bestFit="1" customWidth="1"/>
    <col min="3" max="3" width="12.0703125" style="1" customWidth="1"/>
    <col min="4" max="4" width="12.42578125" style="1" bestFit="1" customWidth="1"/>
    <col min="5" max="5" width="15.140625" style="1" bestFit="1" customWidth="1"/>
    <col min="6" max="6" width="15.2109375" style="1" customWidth="1"/>
    <col min="7" max="7" width="15.140625" style="1" customWidth="1"/>
    <col min="8" max="8" width="12.2109375" style="1" customWidth="1"/>
    <col min="9" max="9" width="16" style="1" customWidth="1"/>
    <col min="10" max="10" width="12.5" style="1" bestFit="1" customWidth="1"/>
    <col min="11" max="11" width="14.28515625" style="1" bestFit="1" customWidth="1"/>
    <col min="12" max="12" width="17.28515625" style="1" bestFit="1" customWidth="1"/>
    <col min="13" max="13" width="3.35546875" style="1" bestFit="1" customWidth="1"/>
    <col min="14" max="14" width="11.92578125" style="1" bestFit="1" customWidth="1"/>
    <col min="15" max="17" width="7.7109375" style="1" bestFit="1" customWidth="1"/>
    <col min="18" max="18" width="12" style="1" bestFit="1" customWidth="1"/>
    <col min="19" max="19" width="7.92578125" style="1" bestFit="1" customWidth="1"/>
    <col min="20" max="20" width="12.85546875" style="1" bestFit="1" customWidth="1"/>
    <col min="21" max="21" width="12" style="1" bestFit="1" customWidth="1"/>
    <col min="22" max="22" width="10" style="1" bestFit="1" customWidth="1"/>
    <col min="23" max="23" width="14" style="1" bestFit="1" customWidth="1"/>
    <col min="24" max="24" width="7.92578125" style="1" bestFit="1" customWidth="1"/>
    <col min="25" max="25" width="12.85546875" style="1" bestFit="1" customWidth="1"/>
    <col min="26" max="26" width="15.28515625" style="1" bestFit="1" customWidth="1"/>
    <col min="27" max="27" width="11.0703125" style="1" bestFit="1" customWidth="1"/>
    <col min="28" max="28" width="9.7109375" style="1" bestFit="1" customWidth="1"/>
    <col min="29" max="29" width="7.92578125" style="1" bestFit="1" customWidth="1"/>
    <col min="30" max="30" width="12.85546875" style="1" bestFit="1" customWidth="1"/>
    <col min="31" max="31" width="12" style="1" bestFit="1" customWidth="1"/>
    <col min="32" max="32" width="15.28515625" style="1" bestFit="1" customWidth="1"/>
    <col min="33" max="33" width="9.0703125" style="1" bestFit="1" customWidth="1"/>
    <col min="34" max="34" width="15.28515625" style="1" bestFit="1" customWidth="1"/>
    <col min="35" max="35" width="8.35546875" style="1" bestFit="1" customWidth="1"/>
    <col min="36" max="36" width="7.92578125" style="1" bestFit="1" customWidth="1"/>
    <col min="37" max="37" width="12.85546875" style="1" bestFit="1" customWidth="1"/>
    <col min="38" max="38" width="15.28515625" style="1" bestFit="1" customWidth="1"/>
    <col min="39" max="39" width="11.0703125" style="1" bestFit="1" customWidth="1"/>
    <col min="40" max="40" width="10.35546875" style="1" bestFit="1" customWidth="1"/>
    <col min="41" max="41" width="11.92578125" style="1" bestFit="1" customWidth="1"/>
    <col min="42" max="16384" width="9.140625" style="1"/>
  </cols>
  <sheetData>
    <row r="1" spans="1:28" x14ac:dyDescent="0.55000000000000004">
      <c r="A1" s="13">
        <v>244282</v>
      </c>
      <c r="B1" s="70" t="s">
        <v>21</v>
      </c>
      <c r="C1" s="70"/>
    </row>
    <row r="2" spans="1:28" x14ac:dyDescent="0.55000000000000004">
      <c r="H2" s="15" t="s">
        <v>22</v>
      </c>
      <c r="I2" s="15"/>
      <c r="L2" s="15" t="s">
        <v>23</v>
      </c>
      <c r="M2" s="15"/>
      <c r="N2" s="15"/>
      <c r="O2" s="15"/>
      <c r="Q2" s="77" t="s">
        <v>24</v>
      </c>
      <c r="R2" s="77"/>
      <c r="S2" s="77"/>
      <c r="U2" s="15" t="s">
        <v>25</v>
      </c>
      <c r="V2" s="15"/>
      <c r="W2" s="15"/>
      <c r="Y2" s="72" t="s">
        <v>26</v>
      </c>
      <c r="Z2" s="72"/>
      <c r="AA2" s="72"/>
      <c r="AB2" s="72"/>
    </row>
    <row r="3" spans="1:28" x14ac:dyDescent="0.55000000000000004">
      <c r="B3" s="2" t="s">
        <v>0</v>
      </c>
      <c r="C3" s="2" t="s">
        <v>1</v>
      </c>
      <c r="D3" s="2" t="s">
        <v>2</v>
      </c>
      <c r="E3" s="2" t="s">
        <v>3</v>
      </c>
      <c r="F3" s="1" t="s">
        <v>4</v>
      </c>
      <c r="H3" s="2" t="s">
        <v>1</v>
      </c>
      <c r="I3" s="2" t="s">
        <v>2</v>
      </c>
      <c r="J3" s="2" t="s">
        <v>3</v>
      </c>
      <c r="L3" s="2" t="s">
        <v>1</v>
      </c>
      <c r="M3" s="2" t="s">
        <v>2</v>
      </c>
      <c r="N3" s="2" t="s">
        <v>3</v>
      </c>
      <c r="Q3" s="2" t="s">
        <v>1</v>
      </c>
      <c r="R3" s="2" t="s">
        <v>2</v>
      </c>
      <c r="S3" s="2" t="s">
        <v>3</v>
      </c>
      <c r="U3" s="2" t="s">
        <v>1</v>
      </c>
      <c r="V3" s="2" t="s">
        <v>2</v>
      </c>
      <c r="W3" s="2" t="s">
        <v>3</v>
      </c>
      <c r="Y3" s="2" t="s">
        <v>1</v>
      </c>
      <c r="Z3" s="2" t="s">
        <v>2</v>
      </c>
      <c r="AA3" s="2" t="s">
        <v>3</v>
      </c>
      <c r="AB3" s="2" t="s">
        <v>27</v>
      </c>
    </row>
    <row r="4" spans="1:28" x14ac:dyDescent="0.55000000000000004">
      <c r="B4" s="1" t="s">
        <v>5</v>
      </c>
      <c r="C4" s="3">
        <v>3700</v>
      </c>
      <c r="D4" s="3">
        <v>1350</v>
      </c>
      <c r="E4" s="3">
        <v>1000</v>
      </c>
      <c r="F4" s="3">
        <f>SUM(C4:E4)</f>
        <v>6050</v>
      </c>
      <c r="H4" s="4">
        <f t="shared" ref="H4:H15" si="0">C4/C$16</f>
        <v>0.10070219367481356</v>
      </c>
      <c r="I4" s="4">
        <f t="shared" ref="I4:I15" si="1">D4/D$16</f>
        <v>9.5285149632975713E-2</v>
      </c>
      <c r="J4" s="4">
        <f t="shared" ref="J4:J15" si="2">E4/E$16</f>
        <v>9.765625E-2</v>
      </c>
      <c r="L4" s="4">
        <f>C4/SUM($C4:$E4)</f>
        <v>0.61157024793388426</v>
      </c>
      <c r="M4" s="4">
        <f t="shared" ref="M4:N4" si="3">D4/SUM($C4:$E4)</f>
        <v>0.2231404958677686</v>
      </c>
      <c r="N4" s="4">
        <f t="shared" si="3"/>
        <v>0.16528925619834711</v>
      </c>
      <c r="O4" s="5">
        <f t="shared" ref="O4:O15" si="4">SUM(L4:N4)</f>
        <v>1</v>
      </c>
      <c r="Q4" s="6">
        <f>C4</f>
        <v>3700</v>
      </c>
      <c r="R4" s="6">
        <f t="shared" ref="R4:S4" si="5">D4</f>
        <v>1350</v>
      </c>
      <c r="S4" s="6">
        <f t="shared" si="5"/>
        <v>1000</v>
      </c>
      <c r="U4" s="1">
        <v>0</v>
      </c>
      <c r="V4" s="1">
        <v>0</v>
      </c>
      <c r="W4" s="1">
        <v>0</v>
      </c>
    </row>
    <row r="5" spans="1:28" x14ac:dyDescent="0.55000000000000004">
      <c r="B5" s="1" t="s">
        <v>6</v>
      </c>
      <c r="C5" s="3">
        <v>2920</v>
      </c>
      <c r="D5" s="3">
        <v>1050</v>
      </c>
      <c r="E5" s="3">
        <v>830</v>
      </c>
      <c r="F5" s="3">
        <f t="shared" ref="F5:F16" si="6">SUM(C5:E5)</f>
        <v>4800</v>
      </c>
      <c r="H5" s="4">
        <f t="shared" si="0"/>
        <v>7.9473082575798812E-2</v>
      </c>
      <c r="I5" s="4">
        <f t="shared" si="1"/>
        <v>7.4110671936758896E-2</v>
      </c>
      <c r="J5" s="4">
        <f t="shared" si="2"/>
        <v>8.10546875E-2</v>
      </c>
      <c r="L5" s="4">
        <f t="shared" ref="L5:L15" si="7">C5/SUM($C5:$E5)</f>
        <v>0.60833333333333328</v>
      </c>
      <c r="M5" s="4">
        <f t="shared" ref="M5:M15" si="8">D5/SUM($C5:$E5)</f>
        <v>0.21875</v>
      </c>
      <c r="N5" s="4">
        <f t="shared" ref="N5:N15" si="9">E5/SUM($C5:$E5)</f>
        <v>0.17291666666666666</v>
      </c>
      <c r="O5" s="5">
        <f t="shared" si="4"/>
        <v>1</v>
      </c>
      <c r="Q5" s="6">
        <f>Q4+C5</f>
        <v>6620</v>
      </c>
      <c r="R5" s="6">
        <f t="shared" ref="R5:S15" si="10">R4+D5</f>
        <v>2400</v>
      </c>
      <c r="S5" s="6">
        <f t="shared" si="10"/>
        <v>1830</v>
      </c>
      <c r="U5" s="7">
        <f>C5-C4</f>
        <v>-780</v>
      </c>
      <c r="V5" s="7">
        <f t="shared" ref="V5:W15" si="11">D5-D4</f>
        <v>-300</v>
      </c>
      <c r="W5" s="7">
        <f t="shared" si="11"/>
        <v>-170</v>
      </c>
      <c r="Y5" s="8">
        <f>(C5-C4)/C4</f>
        <v>-0.21081081081081082</v>
      </c>
      <c r="Z5" s="8">
        <f t="shared" ref="Z5:AB15" si="12">(D5-D4)/D4</f>
        <v>-0.22222222222222221</v>
      </c>
      <c r="AA5" s="8">
        <f t="shared" si="12"/>
        <v>-0.17</v>
      </c>
      <c r="AB5" s="8">
        <f t="shared" si="12"/>
        <v>-0.20661157024793389</v>
      </c>
    </row>
    <row r="6" spans="1:28" x14ac:dyDescent="0.55000000000000004">
      <c r="B6" s="1" t="s">
        <v>7</v>
      </c>
      <c r="C6" s="3">
        <v>2750</v>
      </c>
      <c r="D6" s="3">
        <v>995</v>
      </c>
      <c r="E6" s="3">
        <v>858</v>
      </c>
      <c r="F6" s="3">
        <f t="shared" si="6"/>
        <v>4603</v>
      </c>
      <c r="H6" s="4">
        <f t="shared" si="0"/>
        <v>7.4846225028577656E-2</v>
      </c>
      <c r="I6" s="4">
        <f t="shared" si="1"/>
        <v>7.0228684359119137E-2</v>
      </c>
      <c r="J6" s="4">
        <f t="shared" si="2"/>
        <v>8.3789062499999997E-2</v>
      </c>
      <c r="L6" s="4">
        <f t="shared" si="7"/>
        <v>0.59743645448620464</v>
      </c>
      <c r="M6" s="4">
        <f t="shared" si="8"/>
        <v>0.21616337171409949</v>
      </c>
      <c r="N6" s="4">
        <f t="shared" si="9"/>
        <v>0.18640017379969584</v>
      </c>
      <c r="O6" s="5">
        <f t="shared" si="4"/>
        <v>1</v>
      </c>
      <c r="Q6" s="6">
        <f t="shared" ref="Q6:Q15" si="13">Q5+C6</f>
        <v>9370</v>
      </c>
      <c r="R6" s="6">
        <f t="shared" si="10"/>
        <v>3395</v>
      </c>
      <c r="S6" s="6">
        <f t="shared" si="10"/>
        <v>2688</v>
      </c>
      <c r="U6" s="7">
        <f t="shared" ref="U6:U15" si="14">C6-C5</f>
        <v>-170</v>
      </c>
      <c r="V6" s="7">
        <f t="shared" si="11"/>
        <v>-55</v>
      </c>
      <c r="W6" s="7">
        <f t="shared" si="11"/>
        <v>28</v>
      </c>
      <c r="Y6" s="8">
        <f t="shared" ref="Y6:Y15" si="15">(C6-C5)/C5</f>
        <v>-5.8219178082191778E-2</v>
      </c>
      <c r="Z6" s="8">
        <f t="shared" si="12"/>
        <v>-5.2380952380952382E-2</v>
      </c>
      <c r="AA6" s="8">
        <f t="shared" si="12"/>
        <v>3.3734939759036145E-2</v>
      </c>
      <c r="AB6" s="8">
        <f t="shared" si="12"/>
        <v>-4.1041666666666664E-2</v>
      </c>
    </row>
    <row r="7" spans="1:28" x14ac:dyDescent="0.55000000000000004">
      <c r="B7" s="1" t="s">
        <v>8</v>
      </c>
      <c r="C7" s="3">
        <v>3300</v>
      </c>
      <c r="D7" s="3">
        <v>1250</v>
      </c>
      <c r="E7" s="3">
        <v>950</v>
      </c>
      <c r="F7" s="3">
        <f t="shared" si="6"/>
        <v>5500</v>
      </c>
      <c r="H7" s="4">
        <f t="shared" si="0"/>
        <v>8.9815470034293174E-2</v>
      </c>
      <c r="I7" s="4">
        <f t="shared" si="1"/>
        <v>8.8226990400903441E-2</v>
      </c>
      <c r="J7" s="4">
        <f t="shared" si="2"/>
        <v>9.27734375E-2</v>
      </c>
      <c r="L7" s="4">
        <f t="shared" si="7"/>
        <v>0.6</v>
      </c>
      <c r="M7" s="4">
        <f t="shared" si="8"/>
        <v>0.22727272727272727</v>
      </c>
      <c r="N7" s="4">
        <f t="shared" si="9"/>
        <v>0.17272727272727273</v>
      </c>
      <c r="O7" s="5">
        <f t="shared" si="4"/>
        <v>1</v>
      </c>
      <c r="Q7" s="6">
        <f t="shared" si="13"/>
        <v>12670</v>
      </c>
      <c r="R7" s="6">
        <f t="shared" si="10"/>
        <v>4645</v>
      </c>
      <c r="S7" s="6">
        <f t="shared" si="10"/>
        <v>3638</v>
      </c>
      <c r="U7" s="7">
        <f t="shared" si="14"/>
        <v>550</v>
      </c>
      <c r="V7" s="7">
        <f t="shared" si="11"/>
        <v>255</v>
      </c>
      <c r="W7" s="7">
        <f t="shared" si="11"/>
        <v>92</v>
      </c>
      <c r="Y7" s="8">
        <f t="shared" si="15"/>
        <v>0.2</v>
      </c>
      <c r="Z7" s="8">
        <f t="shared" si="12"/>
        <v>0.25628140703517588</v>
      </c>
      <c r="AA7" s="8">
        <f t="shared" si="12"/>
        <v>0.10722610722610723</v>
      </c>
      <c r="AB7" s="8">
        <f t="shared" si="12"/>
        <v>0.1948729089724093</v>
      </c>
    </row>
    <row r="8" spans="1:28" x14ac:dyDescent="0.55000000000000004">
      <c r="B8" s="1" t="s">
        <v>9</v>
      </c>
      <c r="C8" s="3">
        <v>2700</v>
      </c>
      <c r="D8" s="3">
        <v>986</v>
      </c>
      <c r="E8" s="3">
        <v>675</v>
      </c>
      <c r="F8" s="3">
        <f t="shared" si="6"/>
        <v>4361</v>
      </c>
      <c r="H8" s="4">
        <f t="shared" si="0"/>
        <v>7.3485384573512599E-2</v>
      </c>
      <c r="I8" s="4">
        <f t="shared" si="1"/>
        <v>6.959345002823264E-2</v>
      </c>
      <c r="J8" s="4">
        <f t="shared" si="2"/>
        <v>6.591796875E-2</v>
      </c>
      <c r="L8" s="4">
        <f t="shared" si="7"/>
        <v>0.61912405411602844</v>
      </c>
      <c r="M8" s="4">
        <f t="shared" si="8"/>
        <v>0.22609493235496445</v>
      </c>
      <c r="N8" s="4">
        <f t="shared" si="9"/>
        <v>0.15478101352900711</v>
      </c>
      <c r="O8" s="5">
        <f t="shared" si="4"/>
        <v>1</v>
      </c>
      <c r="Q8" s="6">
        <f t="shared" si="13"/>
        <v>15370</v>
      </c>
      <c r="R8" s="6">
        <f t="shared" si="10"/>
        <v>5631</v>
      </c>
      <c r="S8" s="6">
        <f t="shared" si="10"/>
        <v>4313</v>
      </c>
      <c r="U8" s="7">
        <f t="shared" si="14"/>
        <v>-600</v>
      </c>
      <c r="V8" s="7">
        <f t="shared" si="11"/>
        <v>-264</v>
      </c>
      <c r="W8" s="7">
        <f t="shared" si="11"/>
        <v>-275</v>
      </c>
      <c r="Y8" s="8">
        <f t="shared" si="15"/>
        <v>-0.18181818181818182</v>
      </c>
      <c r="Z8" s="8">
        <f t="shared" si="12"/>
        <v>-0.2112</v>
      </c>
      <c r="AA8" s="8">
        <f t="shared" si="12"/>
        <v>-0.28947368421052633</v>
      </c>
      <c r="AB8" s="8">
        <f t="shared" si="12"/>
        <v>-0.2070909090909091</v>
      </c>
    </row>
    <row r="9" spans="1:28" x14ac:dyDescent="0.55000000000000004">
      <c r="B9" s="1" t="s">
        <v>10</v>
      </c>
      <c r="C9" s="3">
        <v>2520</v>
      </c>
      <c r="D9" s="3">
        <v>1035</v>
      </c>
      <c r="E9" s="3">
        <v>792</v>
      </c>
      <c r="F9" s="3">
        <f t="shared" si="6"/>
        <v>4347</v>
      </c>
      <c r="H9" s="4">
        <f t="shared" si="0"/>
        <v>6.8586358935278424E-2</v>
      </c>
      <c r="I9" s="4">
        <f t="shared" si="1"/>
        <v>7.3051948051948049E-2</v>
      </c>
      <c r="J9" s="4">
        <f t="shared" si="2"/>
        <v>7.7343750000000003E-2</v>
      </c>
      <c r="L9" s="4">
        <f t="shared" si="7"/>
        <v>0.57971014492753625</v>
      </c>
      <c r="M9" s="4">
        <f t="shared" si="8"/>
        <v>0.23809523809523808</v>
      </c>
      <c r="N9" s="4">
        <f t="shared" si="9"/>
        <v>0.18219461697722567</v>
      </c>
      <c r="O9" s="5">
        <f t="shared" si="4"/>
        <v>1</v>
      </c>
      <c r="Q9" s="6">
        <f t="shared" si="13"/>
        <v>17890</v>
      </c>
      <c r="R9" s="6">
        <f t="shared" si="10"/>
        <v>6666</v>
      </c>
      <c r="S9" s="6">
        <f t="shared" si="10"/>
        <v>5105</v>
      </c>
      <c r="U9" s="7">
        <f t="shared" si="14"/>
        <v>-180</v>
      </c>
      <c r="V9" s="7">
        <f t="shared" si="11"/>
        <v>49</v>
      </c>
      <c r="W9" s="7">
        <f t="shared" si="11"/>
        <v>117</v>
      </c>
      <c r="Y9" s="8">
        <f t="shared" si="15"/>
        <v>-6.6666666666666666E-2</v>
      </c>
      <c r="Z9" s="8">
        <f t="shared" si="12"/>
        <v>4.9695740365111561E-2</v>
      </c>
      <c r="AA9" s="8">
        <f t="shared" si="12"/>
        <v>0.17333333333333334</v>
      </c>
      <c r="AB9" s="8">
        <f t="shared" si="12"/>
        <v>-3.2102728731942215E-3</v>
      </c>
    </row>
    <row r="10" spans="1:28" x14ac:dyDescent="0.55000000000000004">
      <c r="B10" s="1" t="s">
        <v>11</v>
      </c>
      <c r="C10" s="3">
        <v>2790</v>
      </c>
      <c r="D10" s="3">
        <v>1170</v>
      </c>
      <c r="E10" s="3">
        <v>648</v>
      </c>
      <c r="F10" s="3">
        <f t="shared" si="6"/>
        <v>4608</v>
      </c>
      <c r="H10" s="4">
        <f t="shared" si="0"/>
        <v>7.5934897392629694E-2</v>
      </c>
      <c r="I10" s="4">
        <f t="shared" si="1"/>
        <v>8.2580463015245617E-2</v>
      </c>
      <c r="J10" s="4">
        <f t="shared" si="2"/>
        <v>6.3281249999999997E-2</v>
      </c>
      <c r="L10" s="4">
        <f t="shared" si="7"/>
        <v>0.60546875</v>
      </c>
      <c r="M10" s="4">
        <f t="shared" si="8"/>
        <v>0.25390625</v>
      </c>
      <c r="N10" s="4">
        <f t="shared" si="9"/>
        <v>0.140625</v>
      </c>
      <c r="O10" s="5">
        <f t="shared" si="4"/>
        <v>1</v>
      </c>
      <c r="Q10" s="6">
        <f t="shared" si="13"/>
        <v>20680</v>
      </c>
      <c r="R10" s="6">
        <f t="shared" si="10"/>
        <v>7836</v>
      </c>
      <c r="S10" s="6">
        <f t="shared" si="10"/>
        <v>5753</v>
      </c>
      <c r="U10" s="7">
        <f t="shared" si="14"/>
        <v>270</v>
      </c>
      <c r="V10" s="7">
        <f t="shared" si="11"/>
        <v>135</v>
      </c>
      <c r="W10" s="7">
        <f t="shared" si="11"/>
        <v>-144</v>
      </c>
      <c r="Y10" s="8">
        <f t="shared" si="15"/>
        <v>0.10714285714285714</v>
      </c>
      <c r="Z10" s="8">
        <f t="shared" si="12"/>
        <v>0.13043478260869565</v>
      </c>
      <c r="AA10" s="8">
        <f t="shared" si="12"/>
        <v>-0.18181818181818182</v>
      </c>
      <c r="AB10" s="8">
        <f t="shared" si="12"/>
        <v>6.0041407867494824E-2</v>
      </c>
    </row>
    <row r="11" spans="1:28" x14ac:dyDescent="0.55000000000000004">
      <c r="B11" s="1" t="s">
        <v>12</v>
      </c>
      <c r="C11" s="3">
        <v>3000</v>
      </c>
      <c r="D11" s="3">
        <v>1200</v>
      </c>
      <c r="E11" s="3">
        <v>650</v>
      </c>
      <c r="F11" s="3">
        <f t="shared" si="6"/>
        <v>4850</v>
      </c>
      <c r="H11" s="4">
        <f t="shared" si="0"/>
        <v>8.1650427303902887E-2</v>
      </c>
      <c r="I11" s="4">
        <f t="shared" si="1"/>
        <v>8.4697910784867311E-2</v>
      </c>
      <c r="J11" s="4">
        <f t="shared" si="2"/>
        <v>6.34765625E-2</v>
      </c>
      <c r="L11" s="4">
        <f t="shared" si="7"/>
        <v>0.61855670103092786</v>
      </c>
      <c r="M11" s="4">
        <f t="shared" si="8"/>
        <v>0.24742268041237114</v>
      </c>
      <c r="N11" s="4">
        <f t="shared" si="9"/>
        <v>0.13402061855670103</v>
      </c>
      <c r="O11" s="5">
        <f t="shared" si="4"/>
        <v>1</v>
      </c>
      <c r="Q11" s="6">
        <f t="shared" si="13"/>
        <v>23680</v>
      </c>
      <c r="R11" s="6">
        <f t="shared" si="10"/>
        <v>9036</v>
      </c>
      <c r="S11" s="6">
        <f t="shared" si="10"/>
        <v>6403</v>
      </c>
      <c r="U11" s="7">
        <f t="shared" si="14"/>
        <v>210</v>
      </c>
      <c r="V11" s="7">
        <f t="shared" si="11"/>
        <v>30</v>
      </c>
      <c r="W11" s="7">
        <f t="shared" si="11"/>
        <v>2</v>
      </c>
      <c r="Y11" s="8">
        <f t="shared" si="15"/>
        <v>7.5268817204301078E-2</v>
      </c>
      <c r="Z11" s="8">
        <f t="shared" si="12"/>
        <v>2.564102564102564E-2</v>
      </c>
      <c r="AA11" s="8">
        <f t="shared" si="12"/>
        <v>3.0864197530864196E-3</v>
      </c>
      <c r="AB11" s="8">
        <f t="shared" si="12"/>
        <v>5.2517361111111112E-2</v>
      </c>
    </row>
    <row r="12" spans="1:28" x14ac:dyDescent="0.55000000000000004">
      <c r="B12" s="1" t="s">
        <v>13</v>
      </c>
      <c r="C12" s="3">
        <v>2982</v>
      </c>
      <c r="D12" s="3">
        <v>1155</v>
      </c>
      <c r="E12" s="3">
        <v>735</v>
      </c>
      <c r="F12" s="3">
        <f t="shared" si="6"/>
        <v>4872</v>
      </c>
      <c r="H12" s="4">
        <f t="shared" si="0"/>
        <v>8.1160524740079468E-2</v>
      </c>
      <c r="I12" s="4">
        <f t="shared" si="1"/>
        <v>8.1521739130434784E-2</v>
      </c>
      <c r="J12" s="4">
        <f t="shared" si="2"/>
        <v>7.177734375E-2</v>
      </c>
      <c r="L12" s="4">
        <f t="shared" si="7"/>
        <v>0.61206896551724133</v>
      </c>
      <c r="M12" s="4">
        <f t="shared" si="8"/>
        <v>0.23706896551724138</v>
      </c>
      <c r="N12" s="4">
        <f t="shared" si="9"/>
        <v>0.15086206896551724</v>
      </c>
      <c r="O12" s="5">
        <f t="shared" si="4"/>
        <v>0.99999999999999989</v>
      </c>
      <c r="Q12" s="6">
        <f t="shared" si="13"/>
        <v>26662</v>
      </c>
      <c r="R12" s="6">
        <f t="shared" si="10"/>
        <v>10191</v>
      </c>
      <c r="S12" s="6">
        <f t="shared" si="10"/>
        <v>7138</v>
      </c>
      <c r="U12" s="7">
        <f t="shared" si="14"/>
        <v>-18</v>
      </c>
      <c r="V12" s="7">
        <f t="shared" si="11"/>
        <v>-45</v>
      </c>
      <c r="W12" s="7">
        <f t="shared" si="11"/>
        <v>85</v>
      </c>
      <c r="Y12" s="8">
        <f t="shared" si="15"/>
        <v>-6.0000000000000001E-3</v>
      </c>
      <c r="Z12" s="8">
        <f t="shared" si="12"/>
        <v>-3.7499999999999999E-2</v>
      </c>
      <c r="AA12" s="8">
        <f t="shared" si="12"/>
        <v>0.13076923076923078</v>
      </c>
      <c r="AB12" s="8">
        <f t="shared" si="12"/>
        <v>4.536082474226804E-3</v>
      </c>
    </row>
    <row r="13" spans="1:28" x14ac:dyDescent="0.55000000000000004">
      <c r="B13" s="1" t="s">
        <v>14</v>
      </c>
      <c r="C13" s="3">
        <v>3564</v>
      </c>
      <c r="D13" s="3">
        <v>1075</v>
      </c>
      <c r="E13" s="3">
        <v>840</v>
      </c>
      <c r="F13" s="3">
        <f t="shared" si="6"/>
        <v>5479</v>
      </c>
      <c r="H13" s="4">
        <f t="shared" si="0"/>
        <v>9.7000707637036637E-2</v>
      </c>
      <c r="I13" s="4">
        <f t="shared" si="1"/>
        <v>7.587521174477696E-2</v>
      </c>
      <c r="J13" s="4">
        <f t="shared" si="2"/>
        <v>8.203125E-2</v>
      </c>
      <c r="L13" s="4">
        <f t="shared" si="7"/>
        <v>0.65048366490235443</v>
      </c>
      <c r="M13" s="4">
        <f t="shared" si="8"/>
        <v>0.19620368680416134</v>
      </c>
      <c r="N13" s="4">
        <f t="shared" si="9"/>
        <v>0.1533126482934842</v>
      </c>
      <c r="O13" s="5">
        <f t="shared" si="4"/>
        <v>1</v>
      </c>
      <c r="Q13" s="6">
        <f t="shared" si="13"/>
        <v>30226</v>
      </c>
      <c r="R13" s="6">
        <f t="shared" si="10"/>
        <v>11266</v>
      </c>
      <c r="S13" s="6">
        <f t="shared" si="10"/>
        <v>7978</v>
      </c>
      <c r="U13" s="7">
        <f t="shared" si="14"/>
        <v>582</v>
      </c>
      <c r="V13" s="7">
        <f t="shared" si="11"/>
        <v>-80</v>
      </c>
      <c r="W13" s="7">
        <f t="shared" si="11"/>
        <v>105</v>
      </c>
      <c r="Y13" s="8">
        <f t="shared" si="15"/>
        <v>0.19517102615694165</v>
      </c>
      <c r="Z13" s="8">
        <f t="shared" si="12"/>
        <v>-6.9264069264069264E-2</v>
      </c>
      <c r="AA13" s="8">
        <f t="shared" si="12"/>
        <v>0.14285714285714285</v>
      </c>
      <c r="AB13" s="8">
        <f t="shared" si="12"/>
        <v>0.12458949096880131</v>
      </c>
    </row>
    <row r="14" spans="1:28" x14ac:dyDescent="0.55000000000000004">
      <c r="B14" s="1" t="s">
        <v>15</v>
      </c>
      <c r="C14" s="3">
        <v>2952</v>
      </c>
      <c r="D14" s="3">
        <v>1260</v>
      </c>
      <c r="E14" s="3">
        <v>997</v>
      </c>
      <c r="F14" s="3">
        <f t="shared" si="6"/>
        <v>5209</v>
      </c>
      <c r="H14" s="4">
        <f t="shared" si="0"/>
        <v>8.034402046704045E-2</v>
      </c>
      <c r="I14" s="4">
        <f t="shared" si="1"/>
        <v>8.8932806324110672E-2</v>
      </c>
      <c r="J14" s="4">
        <f t="shared" si="2"/>
        <v>9.7363281250000003E-2</v>
      </c>
      <c r="L14" s="4">
        <f t="shared" si="7"/>
        <v>0.56671146093300062</v>
      </c>
      <c r="M14" s="4">
        <f t="shared" si="8"/>
        <v>0.24188903820311</v>
      </c>
      <c r="N14" s="4">
        <f t="shared" si="9"/>
        <v>0.19139950086388943</v>
      </c>
      <c r="O14" s="5">
        <f t="shared" si="4"/>
        <v>1</v>
      </c>
      <c r="Q14" s="6">
        <f t="shared" si="13"/>
        <v>33178</v>
      </c>
      <c r="R14" s="6">
        <f t="shared" si="10"/>
        <v>12526</v>
      </c>
      <c r="S14" s="6">
        <f t="shared" si="10"/>
        <v>8975</v>
      </c>
      <c r="U14" s="7">
        <f t="shared" si="14"/>
        <v>-612</v>
      </c>
      <c r="V14" s="7">
        <f t="shared" si="11"/>
        <v>185</v>
      </c>
      <c r="W14" s="7">
        <f t="shared" si="11"/>
        <v>157</v>
      </c>
      <c r="Y14" s="8">
        <f t="shared" si="15"/>
        <v>-0.17171717171717171</v>
      </c>
      <c r="Z14" s="8">
        <f t="shared" si="12"/>
        <v>0.17209302325581396</v>
      </c>
      <c r="AA14" s="8">
        <f t="shared" si="12"/>
        <v>0.18690476190476191</v>
      </c>
      <c r="AB14" s="8">
        <f t="shared" si="12"/>
        <v>-4.9279065522905639E-2</v>
      </c>
    </row>
    <row r="15" spans="1:28" x14ac:dyDescent="0.55000000000000004">
      <c r="B15" s="1" t="s">
        <v>16</v>
      </c>
      <c r="C15" s="3">
        <v>3564</v>
      </c>
      <c r="D15" s="3">
        <v>1642</v>
      </c>
      <c r="E15" s="3">
        <v>1265</v>
      </c>
      <c r="F15" s="3">
        <f t="shared" si="6"/>
        <v>6471</v>
      </c>
      <c r="H15" s="4">
        <f t="shared" si="0"/>
        <v>9.7000707637036637E-2</v>
      </c>
      <c r="I15" s="4">
        <f t="shared" si="1"/>
        <v>0.11589497459062677</v>
      </c>
      <c r="J15" s="4">
        <f t="shared" si="2"/>
        <v>0.12353515625</v>
      </c>
      <c r="L15" s="4">
        <f t="shared" si="7"/>
        <v>0.55076495132127956</v>
      </c>
      <c r="M15" s="4">
        <f t="shared" si="8"/>
        <v>0.25374748879616754</v>
      </c>
      <c r="N15" s="4">
        <f t="shared" si="9"/>
        <v>0.19548755988255292</v>
      </c>
      <c r="O15" s="5">
        <f t="shared" si="4"/>
        <v>1</v>
      </c>
      <c r="Q15" s="6">
        <f t="shared" si="13"/>
        <v>36742</v>
      </c>
      <c r="R15" s="6">
        <f t="shared" si="10"/>
        <v>14168</v>
      </c>
      <c r="S15" s="6">
        <f t="shared" si="10"/>
        <v>10240</v>
      </c>
      <c r="U15" s="7">
        <f t="shared" si="14"/>
        <v>612</v>
      </c>
      <c r="V15" s="7">
        <f t="shared" si="11"/>
        <v>382</v>
      </c>
      <c r="W15" s="7">
        <f t="shared" si="11"/>
        <v>268</v>
      </c>
      <c r="Y15" s="8">
        <f t="shared" si="15"/>
        <v>0.2073170731707317</v>
      </c>
      <c r="Z15" s="8">
        <f t="shared" si="12"/>
        <v>0.30317460317460315</v>
      </c>
      <c r="AA15" s="8">
        <f t="shared" si="12"/>
        <v>0.26880641925777332</v>
      </c>
      <c r="AB15" s="8">
        <f t="shared" si="12"/>
        <v>0.24227298905740066</v>
      </c>
    </row>
    <row r="16" spans="1:28" x14ac:dyDescent="0.55000000000000004">
      <c r="B16" s="1" t="s">
        <v>17</v>
      </c>
      <c r="C16" s="53">
        <f>SUM(C4:C15)</f>
        <v>36742</v>
      </c>
      <c r="D16" s="53">
        <f>SUM(D4:D15)</f>
        <v>14168</v>
      </c>
      <c r="E16" s="53">
        <f t="shared" ref="E16" si="16">SUM(E4:E15)</f>
        <v>10240</v>
      </c>
      <c r="F16" s="3">
        <f t="shared" si="6"/>
        <v>61150</v>
      </c>
      <c r="H16" s="5">
        <f>SUM(H4:H15)</f>
        <v>1</v>
      </c>
      <c r="I16" s="5">
        <f>SUM(I4:I15)</f>
        <v>1</v>
      </c>
      <c r="J16" s="5">
        <f>SUM(J4:J15)</f>
        <v>1</v>
      </c>
      <c r="L16" s="48" t="s">
        <v>215</v>
      </c>
      <c r="M16" s="48"/>
      <c r="N16" s="48"/>
      <c r="O16" s="47"/>
      <c r="Q16" s="71" t="s">
        <v>216</v>
      </c>
      <c r="R16" s="71"/>
      <c r="U16" s="49" t="s">
        <v>217</v>
      </c>
      <c r="V16" s="47"/>
      <c r="W16" s="47"/>
      <c r="Y16" s="49" t="s">
        <v>218</v>
      </c>
      <c r="Z16" s="47"/>
      <c r="AA16" s="47"/>
    </row>
    <row r="17" spans="2:8" x14ac:dyDescent="0.55000000000000004">
      <c r="B17" s="1" t="s">
        <v>18</v>
      </c>
      <c r="C17" s="54">
        <f>AVERAGE(C4:C15)</f>
        <v>3061.8333333333335</v>
      </c>
      <c r="D17" s="54">
        <f t="shared" ref="D17:F17" si="17">AVERAGE(D4:D15)</f>
        <v>1180.6666666666667</v>
      </c>
      <c r="E17" s="54">
        <f>AVERAGE(E4:E15)</f>
        <v>853.33333333333337</v>
      </c>
      <c r="F17" s="6">
        <f t="shared" si="17"/>
        <v>5095.833333333333</v>
      </c>
      <c r="H17" s="47" t="s">
        <v>214</v>
      </c>
    </row>
    <row r="18" spans="2:8" x14ac:dyDescent="0.55000000000000004">
      <c r="B18" s="1" t="s">
        <v>20</v>
      </c>
      <c r="C18" s="55">
        <f>MIN(C4:C15)</f>
        <v>2520</v>
      </c>
      <c r="D18" s="55">
        <f t="shared" ref="D18:F18" si="18">MIN(D4:D15)</f>
        <v>986</v>
      </c>
      <c r="E18" s="55">
        <f>MIN(E4:E15)</f>
        <v>648</v>
      </c>
      <c r="F18" s="6">
        <f t="shared" si="18"/>
        <v>4347</v>
      </c>
    </row>
    <row r="19" spans="2:8" x14ac:dyDescent="0.55000000000000004">
      <c r="B19" s="1" t="s">
        <v>19</v>
      </c>
      <c r="C19" s="56">
        <f>MAX(C4:C15)</f>
        <v>3700</v>
      </c>
      <c r="D19" s="56">
        <f>MAX(D4:D15)</f>
        <v>1642</v>
      </c>
      <c r="E19" s="56">
        <f t="shared" ref="E19:F19" si="19">MAX(E4:E15)</f>
        <v>1265</v>
      </c>
      <c r="F19" s="6">
        <f t="shared" si="19"/>
        <v>6471</v>
      </c>
      <c r="H19" s="66"/>
    </row>
    <row r="20" spans="2:8" x14ac:dyDescent="0.55000000000000004">
      <c r="B20" s="47" t="s">
        <v>213</v>
      </c>
      <c r="C20" s="47"/>
      <c r="D20" s="47"/>
      <c r="E20" s="47"/>
    </row>
    <row r="25" spans="2:8" x14ac:dyDescent="0.55000000000000004">
      <c r="F25" s="47" t="s">
        <v>212</v>
      </c>
    </row>
    <row r="34" spans="1:16" x14ac:dyDescent="0.55000000000000004">
      <c r="A34" s="13">
        <v>244284</v>
      </c>
      <c r="B34" s="70" t="s">
        <v>28</v>
      </c>
      <c r="C34" s="70"/>
      <c r="D34" s="70"/>
      <c r="E34" s="70" t="s">
        <v>21</v>
      </c>
      <c r="F34" s="70"/>
      <c r="G34" s="49" t="s">
        <v>219</v>
      </c>
      <c r="H34" s="47"/>
      <c r="I34" s="47"/>
      <c r="J34" s="47"/>
      <c r="K34" s="47"/>
      <c r="L34" s="47"/>
      <c r="M34" s="47"/>
    </row>
    <row r="35" spans="1:16" x14ac:dyDescent="0.55000000000000004">
      <c r="L35" s="76" t="s">
        <v>36</v>
      </c>
      <c r="M35" s="76"/>
      <c r="N35" s="76"/>
      <c r="O35" s="76"/>
      <c r="P35" s="76"/>
    </row>
    <row r="36" spans="1:16" x14ac:dyDescent="0.55000000000000004">
      <c r="B36" s="12" t="s">
        <v>34</v>
      </c>
      <c r="C36" s="1">
        <v>59</v>
      </c>
      <c r="E36" s="9" t="s">
        <v>0</v>
      </c>
      <c r="F36" s="9" t="s">
        <v>1</v>
      </c>
      <c r="G36" s="9" t="s">
        <v>2</v>
      </c>
      <c r="H36" s="9" t="s">
        <v>3</v>
      </c>
      <c r="I36" s="11" t="s">
        <v>30</v>
      </c>
      <c r="J36" s="1" t="s">
        <v>31</v>
      </c>
      <c r="K36" s="1" t="s">
        <v>32</v>
      </c>
      <c r="L36" s="1" t="s">
        <v>33</v>
      </c>
      <c r="N36" s="1" t="s">
        <v>35</v>
      </c>
      <c r="O36" s="1" t="s">
        <v>37</v>
      </c>
    </row>
    <row r="37" spans="1:16" x14ac:dyDescent="0.55000000000000004">
      <c r="E37" s="1" t="s">
        <v>5</v>
      </c>
      <c r="F37" s="3">
        <v>3700</v>
      </c>
      <c r="G37" s="3">
        <v>1350</v>
      </c>
      <c r="H37" s="3">
        <v>1000</v>
      </c>
      <c r="I37" s="6">
        <f t="shared" ref="I37:I48" si="20">SUM(F37:H37)</f>
        <v>6050</v>
      </c>
      <c r="J37" s="10">
        <f>I37/30</f>
        <v>201.66666666666666</v>
      </c>
      <c r="K37" s="10">
        <f>J37/12</f>
        <v>16.805555555555554</v>
      </c>
      <c r="L37" s="10">
        <f>60/K37</f>
        <v>3.5702479338842981</v>
      </c>
      <c r="N37" s="6">
        <f t="shared" ref="N37:N48" si="21">I37*$C$36</f>
        <v>356950</v>
      </c>
      <c r="O37" s="6">
        <f>N37/30</f>
        <v>11898.333333333334</v>
      </c>
    </row>
    <row r="38" spans="1:16" x14ac:dyDescent="0.55000000000000004">
      <c r="E38" s="1" t="s">
        <v>6</v>
      </c>
      <c r="F38" s="3">
        <v>2920</v>
      </c>
      <c r="G38" s="3">
        <v>1050</v>
      </c>
      <c r="H38" s="3">
        <v>830</v>
      </c>
      <c r="I38" s="6">
        <f t="shared" si="20"/>
        <v>4800</v>
      </c>
      <c r="J38" s="10">
        <f t="shared" ref="J38:J48" si="22">I38/30</f>
        <v>160</v>
      </c>
      <c r="K38" s="10">
        <f t="shared" ref="K38:K48" si="23">J38/12</f>
        <v>13.333333333333334</v>
      </c>
      <c r="L38" s="10">
        <f t="shared" ref="L38:L48" si="24">60/K38</f>
        <v>4.5</v>
      </c>
      <c r="N38" s="6">
        <f t="shared" si="21"/>
        <v>283200</v>
      </c>
      <c r="O38" s="6">
        <f t="shared" ref="O38:O48" si="25">N38/30</f>
        <v>9440</v>
      </c>
    </row>
    <row r="39" spans="1:16" x14ac:dyDescent="0.55000000000000004">
      <c r="E39" s="1" t="s">
        <v>7</v>
      </c>
      <c r="F39" s="3">
        <v>2750</v>
      </c>
      <c r="G39" s="3">
        <v>995</v>
      </c>
      <c r="H39" s="3">
        <v>858</v>
      </c>
      <c r="I39" s="6">
        <f t="shared" si="20"/>
        <v>4603</v>
      </c>
      <c r="J39" s="10">
        <f t="shared" si="22"/>
        <v>153.43333333333334</v>
      </c>
      <c r="K39" s="10">
        <f t="shared" si="23"/>
        <v>12.786111111111111</v>
      </c>
      <c r="L39" s="10">
        <f t="shared" si="24"/>
        <v>4.6925917879643713</v>
      </c>
      <c r="N39" s="6">
        <f t="shared" si="21"/>
        <v>271577</v>
      </c>
      <c r="O39" s="6">
        <f t="shared" si="25"/>
        <v>9052.5666666666675</v>
      </c>
    </row>
    <row r="40" spans="1:16" x14ac:dyDescent="0.55000000000000004">
      <c r="E40" s="1" t="s">
        <v>8</v>
      </c>
      <c r="F40" s="3">
        <v>3300</v>
      </c>
      <c r="G40" s="3">
        <v>1250</v>
      </c>
      <c r="H40" s="3">
        <v>950</v>
      </c>
      <c r="I40" s="6">
        <f t="shared" si="20"/>
        <v>5500</v>
      </c>
      <c r="J40" s="10">
        <f t="shared" si="22"/>
        <v>183.33333333333334</v>
      </c>
      <c r="K40" s="10">
        <f t="shared" si="23"/>
        <v>15.277777777777779</v>
      </c>
      <c r="L40" s="10">
        <f t="shared" si="24"/>
        <v>3.9272727272727272</v>
      </c>
      <c r="N40" s="6">
        <f t="shared" si="21"/>
        <v>324500</v>
      </c>
      <c r="O40" s="6">
        <f t="shared" si="25"/>
        <v>10816.666666666666</v>
      </c>
    </row>
    <row r="41" spans="1:16" x14ac:dyDescent="0.55000000000000004">
      <c r="E41" s="1" t="s">
        <v>9</v>
      </c>
      <c r="F41" s="3">
        <v>2700</v>
      </c>
      <c r="G41" s="3">
        <v>986</v>
      </c>
      <c r="H41" s="3">
        <v>675</v>
      </c>
      <c r="I41" s="6">
        <f t="shared" si="20"/>
        <v>4361</v>
      </c>
      <c r="J41" s="10">
        <f t="shared" si="22"/>
        <v>145.36666666666667</v>
      </c>
      <c r="K41" s="10">
        <f t="shared" si="23"/>
        <v>12.113888888888889</v>
      </c>
      <c r="L41" s="10">
        <f t="shared" si="24"/>
        <v>4.9529924329282276</v>
      </c>
      <c r="N41" s="6">
        <f t="shared" si="21"/>
        <v>257299</v>
      </c>
      <c r="O41" s="6">
        <f t="shared" si="25"/>
        <v>8576.6333333333332</v>
      </c>
    </row>
    <row r="42" spans="1:16" x14ac:dyDescent="0.55000000000000004">
      <c r="E42" s="1" t="s">
        <v>10</v>
      </c>
      <c r="F42" s="3">
        <v>2520</v>
      </c>
      <c r="G42" s="3">
        <v>1035</v>
      </c>
      <c r="H42" s="3">
        <v>792</v>
      </c>
      <c r="I42" s="6">
        <f t="shared" si="20"/>
        <v>4347</v>
      </c>
      <c r="J42" s="10">
        <f t="shared" si="22"/>
        <v>144.9</v>
      </c>
      <c r="K42" s="10">
        <f t="shared" si="23"/>
        <v>12.075000000000001</v>
      </c>
      <c r="L42" s="10">
        <f t="shared" si="24"/>
        <v>4.9689440993788816</v>
      </c>
      <c r="N42" s="6">
        <f t="shared" si="21"/>
        <v>256473</v>
      </c>
      <c r="O42" s="6">
        <f t="shared" si="25"/>
        <v>8549.1</v>
      </c>
    </row>
    <row r="43" spans="1:16" x14ac:dyDescent="0.55000000000000004">
      <c r="E43" s="1" t="s">
        <v>11</v>
      </c>
      <c r="F43" s="3">
        <v>2790</v>
      </c>
      <c r="G43" s="3">
        <v>1170</v>
      </c>
      <c r="H43" s="3">
        <v>648</v>
      </c>
      <c r="I43" s="6">
        <f t="shared" si="20"/>
        <v>4608</v>
      </c>
      <c r="J43" s="10">
        <f t="shared" si="22"/>
        <v>153.6</v>
      </c>
      <c r="K43" s="10">
        <f t="shared" si="23"/>
        <v>12.799999999999999</v>
      </c>
      <c r="L43" s="10">
        <f t="shared" si="24"/>
        <v>4.6875</v>
      </c>
      <c r="N43" s="6">
        <f t="shared" si="21"/>
        <v>271872</v>
      </c>
      <c r="O43" s="6">
        <f t="shared" si="25"/>
        <v>9062.4</v>
      </c>
    </row>
    <row r="44" spans="1:16" x14ac:dyDescent="0.55000000000000004">
      <c r="E44" s="1" t="s">
        <v>12</v>
      </c>
      <c r="F44" s="3">
        <v>3000</v>
      </c>
      <c r="G44" s="3">
        <v>1200</v>
      </c>
      <c r="H44" s="3">
        <v>650</v>
      </c>
      <c r="I44" s="6">
        <f t="shared" si="20"/>
        <v>4850</v>
      </c>
      <c r="J44" s="10">
        <f t="shared" si="22"/>
        <v>161.66666666666666</v>
      </c>
      <c r="K44" s="10">
        <f t="shared" si="23"/>
        <v>13.472222222222221</v>
      </c>
      <c r="L44" s="10">
        <f t="shared" si="24"/>
        <v>4.4536082474226806</v>
      </c>
      <c r="N44" s="6">
        <f t="shared" si="21"/>
        <v>286150</v>
      </c>
      <c r="O44" s="6">
        <f t="shared" si="25"/>
        <v>9538.3333333333339</v>
      </c>
    </row>
    <row r="45" spans="1:16" x14ac:dyDescent="0.55000000000000004">
      <c r="E45" s="1" t="s">
        <v>13</v>
      </c>
      <c r="F45" s="3">
        <v>2982</v>
      </c>
      <c r="G45" s="3">
        <v>1155</v>
      </c>
      <c r="H45" s="3">
        <v>735</v>
      </c>
      <c r="I45" s="6">
        <f t="shared" si="20"/>
        <v>4872</v>
      </c>
      <c r="J45" s="10">
        <f t="shared" si="22"/>
        <v>162.4</v>
      </c>
      <c r="K45" s="10">
        <f t="shared" si="23"/>
        <v>13.533333333333333</v>
      </c>
      <c r="L45" s="10">
        <f t="shared" si="24"/>
        <v>4.4334975369458132</v>
      </c>
      <c r="N45" s="6">
        <f t="shared" si="21"/>
        <v>287448</v>
      </c>
      <c r="O45" s="6">
        <f t="shared" si="25"/>
        <v>9581.6</v>
      </c>
    </row>
    <row r="46" spans="1:16" x14ac:dyDescent="0.55000000000000004">
      <c r="E46" s="1" t="s">
        <v>14</v>
      </c>
      <c r="F46" s="3">
        <v>3564</v>
      </c>
      <c r="G46" s="3">
        <v>1075</v>
      </c>
      <c r="H46" s="3">
        <v>840</v>
      </c>
      <c r="I46" s="6">
        <f t="shared" si="20"/>
        <v>5479</v>
      </c>
      <c r="J46" s="10">
        <f t="shared" si="22"/>
        <v>182.63333333333333</v>
      </c>
      <c r="K46" s="10">
        <f t="shared" si="23"/>
        <v>15.219444444444443</v>
      </c>
      <c r="L46" s="10">
        <f t="shared" si="24"/>
        <v>3.9423252418324517</v>
      </c>
      <c r="N46" s="6">
        <f t="shared" si="21"/>
        <v>323261</v>
      </c>
      <c r="O46" s="6">
        <f t="shared" si="25"/>
        <v>10775.366666666667</v>
      </c>
    </row>
    <row r="47" spans="1:16" x14ac:dyDescent="0.55000000000000004">
      <c r="E47" s="1" t="s">
        <v>15</v>
      </c>
      <c r="F47" s="3">
        <v>2952</v>
      </c>
      <c r="G47" s="3">
        <v>1260</v>
      </c>
      <c r="H47" s="3">
        <v>997</v>
      </c>
      <c r="I47" s="6">
        <f t="shared" si="20"/>
        <v>5209</v>
      </c>
      <c r="J47" s="10">
        <f t="shared" si="22"/>
        <v>173.63333333333333</v>
      </c>
      <c r="K47" s="10">
        <f t="shared" si="23"/>
        <v>14.469444444444443</v>
      </c>
      <c r="L47" s="10">
        <f t="shared" si="24"/>
        <v>4.1466692263390286</v>
      </c>
      <c r="N47" s="6">
        <f t="shared" si="21"/>
        <v>307331</v>
      </c>
      <c r="O47" s="6">
        <f t="shared" si="25"/>
        <v>10244.366666666667</v>
      </c>
    </row>
    <row r="48" spans="1:16" x14ac:dyDescent="0.55000000000000004">
      <c r="E48" s="1" t="s">
        <v>16</v>
      </c>
      <c r="F48" s="3">
        <v>3564</v>
      </c>
      <c r="G48" s="3">
        <v>1642</v>
      </c>
      <c r="H48" s="3">
        <v>1265</v>
      </c>
      <c r="I48" s="6">
        <f t="shared" si="20"/>
        <v>6471</v>
      </c>
      <c r="J48" s="10">
        <f t="shared" si="22"/>
        <v>215.7</v>
      </c>
      <c r="K48" s="10">
        <f t="shared" si="23"/>
        <v>17.974999999999998</v>
      </c>
      <c r="L48" s="10">
        <f t="shared" si="24"/>
        <v>3.3379694019471491</v>
      </c>
      <c r="N48" s="6">
        <f t="shared" si="21"/>
        <v>381789</v>
      </c>
      <c r="O48" s="6">
        <f t="shared" si="25"/>
        <v>12726.3</v>
      </c>
    </row>
    <row r="49" spans="1:21" x14ac:dyDescent="0.55000000000000004">
      <c r="I49" s="75" t="s">
        <v>29</v>
      </c>
      <c r="J49" s="75"/>
      <c r="K49" s="75"/>
    </row>
    <row r="51" spans="1:21" x14ac:dyDescent="0.55000000000000004">
      <c r="A51" s="13">
        <v>244284</v>
      </c>
      <c r="B51" s="70" t="s">
        <v>38</v>
      </c>
      <c r="C51" s="70"/>
      <c r="D51" s="49" t="s">
        <v>220</v>
      </c>
      <c r="E51" s="47"/>
      <c r="F51" s="47"/>
      <c r="G51" s="47"/>
      <c r="H51" s="47"/>
      <c r="I51" s="47"/>
      <c r="J51" s="47"/>
      <c r="K51" s="47"/>
    </row>
    <row r="53" spans="1:21" x14ac:dyDescent="0.55000000000000004">
      <c r="B53" s="1" t="s">
        <v>39</v>
      </c>
      <c r="C53" s="25">
        <v>150</v>
      </c>
      <c r="D53" s="1" t="s">
        <v>40</v>
      </c>
      <c r="F53" s="19" t="s">
        <v>221</v>
      </c>
    </row>
    <row r="54" spans="1:21" x14ac:dyDescent="0.55000000000000004">
      <c r="B54" s="1" t="s">
        <v>34</v>
      </c>
      <c r="C54" s="25">
        <v>60</v>
      </c>
      <c r="D54" s="1" t="s">
        <v>41</v>
      </c>
      <c r="F54" s="24" t="s">
        <v>52</v>
      </c>
      <c r="G54" s="24"/>
      <c r="H54" s="24"/>
      <c r="I54" s="24"/>
    </row>
    <row r="55" spans="1:21" x14ac:dyDescent="0.55000000000000004">
      <c r="B55" s="1" t="s">
        <v>37</v>
      </c>
      <c r="C55" s="17">
        <f>C53*C54</f>
        <v>9000</v>
      </c>
      <c r="D55" s="1" t="s">
        <v>41</v>
      </c>
      <c r="G55" s="6">
        <f>D67</f>
        <v>40900</v>
      </c>
      <c r="I55" s="6">
        <f>D67</f>
        <v>40900</v>
      </c>
      <c r="K55" s="6">
        <f>D67</f>
        <v>40900</v>
      </c>
      <c r="L55" s="16">
        <v>45</v>
      </c>
      <c r="M55" s="16">
        <f>L55+5</f>
        <v>50</v>
      </c>
      <c r="N55" s="16">
        <f t="shared" ref="N55:T55" si="26">M55+5</f>
        <v>55</v>
      </c>
      <c r="O55" s="16">
        <f t="shared" si="26"/>
        <v>60</v>
      </c>
      <c r="P55" s="16">
        <f t="shared" si="26"/>
        <v>65</v>
      </c>
      <c r="Q55" s="16">
        <f t="shared" si="26"/>
        <v>70</v>
      </c>
      <c r="R55" s="16">
        <f t="shared" si="26"/>
        <v>75</v>
      </c>
      <c r="S55" s="16">
        <f t="shared" si="26"/>
        <v>80</v>
      </c>
      <c r="T55" s="16">
        <f t="shared" si="26"/>
        <v>85</v>
      </c>
      <c r="U55" s="21" t="s">
        <v>34</v>
      </c>
    </row>
    <row r="56" spans="1:21" x14ac:dyDescent="0.55000000000000004">
      <c r="B56" s="1" t="s">
        <v>35</v>
      </c>
      <c r="C56" s="20">
        <f>C55*30</f>
        <v>270000</v>
      </c>
      <c r="D56" s="1" t="s">
        <v>41</v>
      </c>
      <c r="F56" s="1">
        <v>50</v>
      </c>
      <c r="G56" s="3">
        <f t="dataTable" ref="G56:G65" dt2D="0" dtr="0" r1="C53" ca="1"/>
        <v>-61700</v>
      </c>
      <c r="H56" s="3">
        <v>45</v>
      </c>
      <c r="I56" s="3">
        <f t="dataTable" ref="I56:I65" dt2D="0" dtr="0" r1="C53"/>
        <v>-66830</v>
      </c>
      <c r="K56" s="12">
        <v>50</v>
      </c>
      <c r="L56" s="14">
        <f t="dataTable" ref="L56:T65" dt2D="1" dtr="1" r1="C54" r2="C53" ca="1"/>
        <v>-74525</v>
      </c>
      <c r="M56" s="14">
        <v>-70250</v>
      </c>
      <c r="N56" s="14">
        <v>-65975</v>
      </c>
      <c r="O56" s="14">
        <v>-61700</v>
      </c>
      <c r="P56" s="14">
        <v>-57425</v>
      </c>
      <c r="Q56" s="14">
        <v>-53150</v>
      </c>
      <c r="R56" s="14">
        <v>-48875</v>
      </c>
      <c r="S56" s="14">
        <v>-44600</v>
      </c>
      <c r="T56" s="14">
        <v>-40325</v>
      </c>
    </row>
    <row r="57" spans="1:21" x14ac:dyDescent="0.55000000000000004">
      <c r="F57" s="1">
        <f t="shared" ref="F57:F65" si="27">F56+50</f>
        <v>100</v>
      </c>
      <c r="G57" s="3">
        <v>-10400</v>
      </c>
      <c r="H57" s="3">
        <f>H56+5</f>
        <v>50</v>
      </c>
      <c r="I57" s="3">
        <v>-61700</v>
      </c>
      <c r="K57" s="12">
        <f>K56+25</f>
        <v>75</v>
      </c>
      <c r="L57" s="14">
        <v>-55287.5</v>
      </c>
      <c r="M57" s="14">
        <v>-48875</v>
      </c>
      <c r="N57" s="14">
        <v>-42462.5</v>
      </c>
      <c r="O57" s="14">
        <v>-36050</v>
      </c>
      <c r="P57" s="14">
        <v>-29637.5</v>
      </c>
      <c r="Q57" s="14">
        <v>-23225</v>
      </c>
      <c r="R57" s="14">
        <v>-16812.5</v>
      </c>
      <c r="S57" s="14">
        <v>-10400</v>
      </c>
      <c r="T57" s="14">
        <v>-3987.5</v>
      </c>
    </row>
    <row r="58" spans="1:21" x14ac:dyDescent="0.55000000000000004">
      <c r="F58" s="1">
        <f t="shared" si="27"/>
        <v>150</v>
      </c>
      <c r="G58" s="3">
        <v>40900</v>
      </c>
      <c r="H58" s="3">
        <f t="shared" ref="H58:H65" si="28">H57+5</f>
        <v>55</v>
      </c>
      <c r="I58" s="3">
        <v>-56570</v>
      </c>
      <c r="K58" s="12">
        <f t="shared" ref="K58:K65" si="29">K57+25</f>
        <v>100</v>
      </c>
      <c r="L58" s="14">
        <v>-36050</v>
      </c>
      <c r="M58" s="14">
        <v>-27500</v>
      </c>
      <c r="N58" s="14">
        <v>-18950</v>
      </c>
      <c r="O58" s="14">
        <v>-10400</v>
      </c>
      <c r="P58" s="14">
        <v>-1850</v>
      </c>
      <c r="Q58" s="14">
        <v>6700</v>
      </c>
      <c r="R58" s="14">
        <v>15250</v>
      </c>
      <c r="S58" s="14">
        <v>23800</v>
      </c>
      <c r="T58" s="14">
        <v>32350</v>
      </c>
    </row>
    <row r="59" spans="1:21" x14ac:dyDescent="0.55000000000000004">
      <c r="B59" s="1" t="s">
        <v>42</v>
      </c>
      <c r="D59" s="1" t="s">
        <v>50</v>
      </c>
      <c r="F59" s="1">
        <f t="shared" si="27"/>
        <v>200</v>
      </c>
      <c r="G59" s="3">
        <v>92200</v>
      </c>
      <c r="H59" s="3">
        <f t="shared" si="28"/>
        <v>60</v>
      </c>
      <c r="I59" s="3">
        <v>-51440</v>
      </c>
      <c r="K59" s="12">
        <f t="shared" si="29"/>
        <v>125</v>
      </c>
      <c r="L59" s="14">
        <v>-16812.5</v>
      </c>
      <c r="M59" s="14">
        <v>-6125</v>
      </c>
      <c r="N59" s="14">
        <v>4562.5</v>
      </c>
      <c r="O59" s="14">
        <v>15250</v>
      </c>
      <c r="P59" s="14">
        <v>25937.5</v>
      </c>
      <c r="Q59" s="14">
        <v>36625</v>
      </c>
      <c r="R59" s="14">
        <v>47312.5</v>
      </c>
      <c r="S59" s="14">
        <v>58000</v>
      </c>
      <c r="T59" s="14">
        <v>68687.5</v>
      </c>
    </row>
    <row r="60" spans="1:21" x14ac:dyDescent="0.55000000000000004">
      <c r="B60" s="1" t="s">
        <v>43</v>
      </c>
      <c r="C60" s="18">
        <v>0.4</v>
      </c>
      <c r="D60" s="17">
        <f>C60*C56</f>
        <v>108000</v>
      </c>
      <c r="F60" s="1">
        <f t="shared" si="27"/>
        <v>250</v>
      </c>
      <c r="G60" s="3">
        <v>143500</v>
      </c>
      <c r="H60" s="3">
        <f t="shared" si="28"/>
        <v>65</v>
      </c>
      <c r="I60" s="3">
        <v>-46310</v>
      </c>
      <c r="K60" s="12">
        <f t="shared" si="29"/>
        <v>150</v>
      </c>
      <c r="L60" s="14">
        <v>2425</v>
      </c>
      <c r="M60" s="14">
        <v>15250</v>
      </c>
      <c r="N60" s="14">
        <v>28075</v>
      </c>
      <c r="O60" s="14">
        <v>40900</v>
      </c>
      <c r="P60" s="14">
        <v>53725</v>
      </c>
      <c r="Q60" s="14">
        <v>66550</v>
      </c>
      <c r="R60" s="14">
        <v>79375</v>
      </c>
      <c r="S60" s="14">
        <v>92200</v>
      </c>
      <c r="T60" s="14">
        <v>105025</v>
      </c>
    </row>
    <row r="61" spans="1:21" x14ac:dyDescent="0.55000000000000004">
      <c r="B61" s="1" t="s">
        <v>44</v>
      </c>
      <c r="C61" s="1">
        <v>4</v>
      </c>
      <c r="D61" s="17">
        <f>12000*C61</f>
        <v>48000</v>
      </c>
      <c r="F61" s="1">
        <f t="shared" si="27"/>
        <v>300</v>
      </c>
      <c r="G61" s="3">
        <v>194800</v>
      </c>
      <c r="H61" s="3">
        <f t="shared" si="28"/>
        <v>70</v>
      </c>
      <c r="I61" s="3">
        <v>-41180</v>
      </c>
      <c r="K61" s="12">
        <f t="shared" si="29"/>
        <v>175</v>
      </c>
      <c r="L61" s="14">
        <v>21662.5</v>
      </c>
      <c r="M61" s="14">
        <v>36625</v>
      </c>
      <c r="N61" s="14">
        <v>51587.5</v>
      </c>
      <c r="O61" s="14">
        <v>66550</v>
      </c>
      <c r="P61" s="14">
        <v>81512.5</v>
      </c>
      <c r="Q61" s="14">
        <v>96475</v>
      </c>
      <c r="R61" s="14">
        <v>111437.5</v>
      </c>
      <c r="S61" s="14">
        <v>126400</v>
      </c>
      <c r="T61" s="14">
        <v>141362.5</v>
      </c>
    </row>
    <row r="62" spans="1:21" x14ac:dyDescent="0.55000000000000004">
      <c r="B62" s="1" t="s">
        <v>45</v>
      </c>
      <c r="D62" s="17">
        <v>50000</v>
      </c>
      <c r="F62" s="1">
        <f t="shared" si="27"/>
        <v>350</v>
      </c>
      <c r="G62" s="3">
        <v>246100</v>
      </c>
      <c r="H62" s="3">
        <f t="shared" si="28"/>
        <v>75</v>
      </c>
      <c r="I62" s="3">
        <v>-36050</v>
      </c>
      <c r="K62" s="12">
        <f t="shared" si="29"/>
        <v>200</v>
      </c>
      <c r="L62" s="14">
        <v>40900</v>
      </c>
      <c r="M62" s="14">
        <v>58000</v>
      </c>
      <c r="N62" s="14">
        <v>75100</v>
      </c>
      <c r="O62" s="14">
        <v>92200</v>
      </c>
      <c r="P62" s="14">
        <v>109300</v>
      </c>
      <c r="Q62" s="14">
        <v>126400</v>
      </c>
      <c r="R62" s="14">
        <v>143500</v>
      </c>
      <c r="S62" s="14">
        <v>160600</v>
      </c>
      <c r="T62" s="14">
        <v>177700</v>
      </c>
    </row>
    <row r="63" spans="1:21" x14ac:dyDescent="0.55000000000000004">
      <c r="B63" s="1" t="s">
        <v>46</v>
      </c>
      <c r="D63" s="17">
        <v>15000</v>
      </c>
      <c r="F63" s="1">
        <f t="shared" si="27"/>
        <v>400</v>
      </c>
      <c r="G63" s="3">
        <v>297400</v>
      </c>
      <c r="H63" s="3">
        <f t="shared" si="28"/>
        <v>80</v>
      </c>
      <c r="I63" s="3">
        <v>-30920</v>
      </c>
      <c r="K63" s="12">
        <f t="shared" si="29"/>
        <v>225</v>
      </c>
      <c r="L63" s="14">
        <v>60137.5</v>
      </c>
      <c r="M63" s="14">
        <v>79375</v>
      </c>
      <c r="N63" s="14">
        <v>98612.5</v>
      </c>
      <c r="O63" s="14">
        <v>117850</v>
      </c>
      <c r="P63" s="14">
        <v>137087.5</v>
      </c>
      <c r="Q63" s="14">
        <v>156325</v>
      </c>
      <c r="R63" s="14">
        <v>175562.5</v>
      </c>
      <c r="S63" s="14">
        <v>194800</v>
      </c>
      <c r="T63" s="14">
        <v>214037.5</v>
      </c>
    </row>
    <row r="64" spans="1:21" x14ac:dyDescent="0.55000000000000004">
      <c r="B64" s="1" t="s">
        <v>47</v>
      </c>
      <c r="C64" s="18">
        <v>0.03</v>
      </c>
      <c r="D64" s="17">
        <f>C64*C56</f>
        <v>8100</v>
      </c>
      <c r="F64" s="1">
        <f t="shared" si="27"/>
        <v>450</v>
      </c>
      <c r="G64" s="3">
        <v>348700</v>
      </c>
      <c r="H64" s="3">
        <f t="shared" si="28"/>
        <v>85</v>
      </c>
      <c r="I64" s="3">
        <v>-25790</v>
      </c>
      <c r="K64" s="12">
        <f t="shared" si="29"/>
        <v>250</v>
      </c>
      <c r="L64" s="14">
        <v>79375</v>
      </c>
      <c r="M64" s="14">
        <v>100750</v>
      </c>
      <c r="N64" s="14">
        <v>122125</v>
      </c>
      <c r="O64" s="14">
        <v>143500</v>
      </c>
      <c r="P64" s="14">
        <v>164875</v>
      </c>
      <c r="Q64" s="14">
        <v>186250</v>
      </c>
      <c r="R64" s="14">
        <v>207625</v>
      </c>
      <c r="S64" s="14">
        <v>229000</v>
      </c>
      <c r="T64" s="14">
        <v>250375</v>
      </c>
    </row>
    <row r="65" spans="1:20" x14ac:dyDescent="0.55000000000000004">
      <c r="B65" s="1" t="s">
        <v>48</v>
      </c>
      <c r="D65" s="20">
        <f>SUM(D60:D64)</f>
        <v>229100</v>
      </c>
      <c r="F65" s="1">
        <f t="shared" si="27"/>
        <v>500</v>
      </c>
      <c r="G65" s="3">
        <v>400000</v>
      </c>
      <c r="H65" s="3">
        <f t="shared" si="28"/>
        <v>90</v>
      </c>
      <c r="I65" s="3">
        <v>-20660</v>
      </c>
      <c r="K65" s="12">
        <f t="shared" si="29"/>
        <v>275</v>
      </c>
      <c r="L65" s="14">
        <v>98612.5</v>
      </c>
      <c r="M65" s="14">
        <v>122125</v>
      </c>
      <c r="N65" s="14">
        <v>145637.5</v>
      </c>
      <c r="O65" s="14">
        <v>169150</v>
      </c>
      <c r="P65" s="14">
        <v>192662.5</v>
      </c>
      <c r="Q65" s="14">
        <v>216175</v>
      </c>
      <c r="R65" s="14">
        <v>239687.5</v>
      </c>
      <c r="S65" s="14">
        <v>263200</v>
      </c>
      <c r="T65" s="14">
        <v>286712.5</v>
      </c>
    </row>
    <row r="66" spans="1:20" x14ac:dyDescent="0.55000000000000004">
      <c r="B66" s="19"/>
      <c r="D66" s="20"/>
      <c r="K66" s="21" t="s">
        <v>53</v>
      </c>
    </row>
    <row r="67" spans="1:20" x14ac:dyDescent="0.55000000000000004">
      <c r="B67" s="1" t="s">
        <v>49</v>
      </c>
      <c r="D67" s="25">
        <f>C56-D65</f>
        <v>40900</v>
      </c>
      <c r="E67" s="1" t="s">
        <v>59</v>
      </c>
    </row>
    <row r="68" spans="1:20" x14ac:dyDescent="0.55000000000000004">
      <c r="D68" s="74" t="s">
        <v>51</v>
      </c>
      <c r="E68" s="74"/>
      <c r="F68" s="74"/>
    </row>
    <row r="70" spans="1:20" x14ac:dyDescent="0.55000000000000004">
      <c r="A70" s="13">
        <v>244286</v>
      </c>
    </row>
    <row r="71" spans="1:20" x14ac:dyDescent="0.55000000000000004">
      <c r="B71" s="1" t="s">
        <v>54</v>
      </c>
      <c r="D71" s="23">
        <v>2500000</v>
      </c>
    </row>
    <row r="72" spans="1:20" x14ac:dyDescent="0.55000000000000004">
      <c r="B72" s="1" t="s">
        <v>55</v>
      </c>
      <c r="D72" s="22">
        <f>(D67*12)/D71</f>
        <v>0.19631999999999999</v>
      </c>
      <c r="E72" s="1" t="s">
        <v>57</v>
      </c>
    </row>
    <row r="73" spans="1:20" x14ac:dyDescent="0.55000000000000004">
      <c r="B73" s="1" t="s">
        <v>56</v>
      </c>
      <c r="D73" s="1">
        <f>ROUNDUP(D71/D67,0)</f>
        <v>62</v>
      </c>
      <c r="E73" s="1" t="s">
        <v>58</v>
      </c>
    </row>
    <row r="74" spans="1:20" x14ac:dyDescent="0.55000000000000004">
      <c r="C74" s="19"/>
      <c r="D74" s="19" t="str">
        <f>INT(D73/12)&amp;"Y"&amp;MOD(D73,12)&amp;"M"</f>
        <v>5Y2M</v>
      </c>
    </row>
    <row r="76" spans="1:20" x14ac:dyDescent="0.55000000000000004">
      <c r="B76" s="26" t="s">
        <v>60</v>
      </c>
      <c r="C76" s="26" t="s">
        <v>61</v>
      </c>
      <c r="D76" s="26" t="s">
        <v>62</v>
      </c>
      <c r="E76" s="26" t="s">
        <v>63</v>
      </c>
      <c r="F76" s="26" t="s">
        <v>64</v>
      </c>
      <c r="H76" s="73" t="s">
        <v>65</v>
      </c>
      <c r="I76" s="73"/>
    </row>
    <row r="77" spans="1:20" x14ac:dyDescent="0.55000000000000004">
      <c r="B77" s="3">
        <v>0</v>
      </c>
      <c r="C77" s="3">
        <v>0</v>
      </c>
      <c r="D77" s="29">
        <f>D71</f>
        <v>2500000</v>
      </c>
      <c r="E77" s="3">
        <f>C77-D77</f>
        <v>-2500000</v>
      </c>
      <c r="F77" s="29">
        <f>E77</f>
        <v>-2500000</v>
      </c>
      <c r="H77" s="33">
        <f>MATCH(0,F77:F87,1)</f>
        <v>6</v>
      </c>
      <c r="I77" s="32" t="s">
        <v>69</v>
      </c>
    </row>
    <row r="78" spans="1:20" x14ac:dyDescent="0.55000000000000004">
      <c r="B78" s="3">
        <v>1</v>
      </c>
      <c r="C78" s="3">
        <f>D67*12</f>
        <v>490800</v>
      </c>
      <c r="D78" s="3"/>
      <c r="E78" s="3">
        <f>C78-D78</f>
        <v>490800</v>
      </c>
      <c r="F78" s="29">
        <f>SUM(D78:E78)+F77</f>
        <v>-2009200</v>
      </c>
      <c r="H78" s="36" cm="1">
        <f t="array" ref="H78">INDEX(F77:F87,H77)</f>
        <v>-46000</v>
      </c>
      <c r="I78" s="37" t="s">
        <v>66</v>
      </c>
    </row>
    <row r="79" spans="1:20" x14ac:dyDescent="0.55000000000000004">
      <c r="B79" s="3">
        <v>2</v>
      </c>
      <c r="C79" s="3">
        <f>C78</f>
        <v>490800</v>
      </c>
      <c r="D79" s="3"/>
      <c r="E79" s="3">
        <f t="shared" ref="E79:E87" si="30">C79-D79</f>
        <v>490800</v>
      </c>
      <c r="F79" s="29">
        <f t="shared" ref="F79:F87" si="31">SUM(D79:E79)+F78</f>
        <v>-1518400</v>
      </c>
      <c r="H79" s="38" cm="1">
        <f t="array" ref="H79">INDEX(E77:E87,H77+1)</f>
        <v>490800</v>
      </c>
      <c r="I79" s="39" t="s">
        <v>67</v>
      </c>
    </row>
    <row r="80" spans="1:20" x14ac:dyDescent="0.55000000000000004">
      <c r="B80" s="3">
        <v>3</v>
      </c>
      <c r="C80" s="3">
        <f t="shared" ref="C80:C87" si="32">C79</f>
        <v>490800</v>
      </c>
      <c r="D80" s="28"/>
      <c r="E80" s="3">
        <f t="shared" si="30"/>
        <v>490800</v>
      </c>
      <c r="F80" s="29">
        <f t="shared" si="31"/>
        <v>-1027600</v>
      </c>
      <c r="H80" s="34">
        <f>(H77-1)+ABS(H78/H79)</f>
        <v>5.0937245313773429</v>
      </c>
      <c r="I80" s="35" t="s">
        <v>68</v>
      </c>
    </row>
    <row r="81" spans="1:41" x14ac:dyDescent="0.55000000000000004">
      <c r="B81" s="3">
        <v>4</v>
      </c>
      <c r="C81" s="3">
        <f t="shared" si="32"/>
        <v>490800</v>
      </c>
      <c r="D81" s="30">
        <v>400000</v>
      </c>
      <c r="E81" s="29">
        <f t="shared" si="30"/>
        <v>90800</v>
      </c>
      <c r="F81" s="29">
        <f t="shared" si="31"/>
        <v>-536800</v>
      </c>
      <c r="H81" s="40" t="str">
        <f>(H77-1)&amp;"Y"&amp;ROUNDUP((H80-INT(H80))*12,0)&amp;"M"</f>
        <v>5Y2M</v>
      </c>
      <c r="I81" s="40" t="s">
        <v>70</v>
      </c>
    </row>
    <row r="82" spans="1:41" x14ac:dyDescent="0.55000000000000004">
      <c r="B82" s="3">
        <v>5</v>
      </c>
      <c r="C82" s="3">
        <f t="shared" si="32"/>
        <v>490800</v>
      </c>
      <c r="D82" s="28"/>
      <c r="E82" s="3">
        <f t="shared" si="30"/>
        <v>490800</v>
      </c>
      <c r="F82" s="29">
        <f t="shared" si="31"/>
        <v>-46000</v>
      </c>
    </row>
    <row r="83" spans="1:41" x14ac:dyDescent="0.55000000000000004">
      <c r="B83" s="3">
        <v>6</v>
      </c>
      <c r="C83" s="3">
        <f t="shared" si="32"/>
        <v>490800</v>
      </c>
      <c r="D83" s="28"/>
      <c r="E83" s="3">
        <f t="shared" si="30"/>
        <v>490800</v>
      </c>
      <c r="F83" s="31">
        <f t="shared" si="31"/>
        <v>444800</v>
      </c>
    </row>
    <row r="84" spans="1:41" x14ac:dyDescent="0.55000000000000004">
      <c r="B84" s="3">
        <v>7</v>
      </c>
      <c r="C84" s="3">
        <f t="shared" si="32"/>
        <v>490800</v>
      </c>
      <c r="D84" s="28"/>
      <c r="E84" s="3">
        <f t="shared" si="30"/>
        <v>490800</v>
      </c>
      <c r="F84" s="31">
        <f t="shared" si="31"/>
        <v>935600</v>
      </c>
    </row>
    <row r="85" spans="1:41" x14ac:dyDescent="0.55000000000000004">
      <c r="B85" s="3">
        <v>8</v>
      </c>
      <c r="C85" s="3">
        <f t="shared" si="32"/>
        <v>490800</v>
      </c>
      <c r="D85" s="27"/>
      <c r="E85" s="3">
        <f t="shared" si="30"/>
        <v>490800</v>
      </c>
      <c r="F85" s="31">
        <f t="shared" si="31"/>
        <v>1426400</v>
      </c>
    </row>
    <row r="86" spans="1:41" x14ac:dyDescent="0.55000000000000004">
      <c r="B86" s="3">
        <v>9</v>
      </c>
      <c r="C86" s="3">
        <f t="shared" si="32"/>
        <v>490800</v>
      </c>
      <c r="D86" s="28"/>
      <c r="E86" s="3">
        <f t="shared" si="30"/>
        <v>490800</v>
      </c>
      <c r="F86" s="31">
        <f t="shared" si="31"/>
        <v>1917200</v>
      </c>
    </row>
    <row r="87" spans="1:41" x14ac:dyDescent="0.55000000000000004">
      <c r="B87" s="3">
        <v>10</v>
      </c>
      <c r="C87" s="3">
        <f t="shared" si="32"/>
        <v>490800</v>
      </c>
      <c r="D87" s="28"/>
      <c r="E87" s="3">
        <f t="shared" si="30"/>
        <v>490800</v>
      </c>
      <c r="F87" s="31">
        <f t="shared" si="31"/>
        <v>2408000</v>
      </c>
    </row>
    <row r="89" spans="1:41" x14ac:dyDescent="0.55000000000000004">
      <c r="A89" s="13">
        <v>244288</v>
      </c>
      <c r="B89" s="70" t="s">
        <v>201</v>
      </c>
      <c r="C89" s="70"/>
      <c r="D89" s="70"/>
      <c r="R89" s="45" t="s">
        <v>74</v>
      </c>
      <c r="S89" t="s">
        <v>211</v>
      </c>
    </row>
    <row r="91" spans="1:41" x14ac:dyDescent="0.55000000000000004">
      <c r="B91" s="26" t="s">
        <v>72</v>
      </c>
      <c r="C91" s="26" t="s">
        <v>73</v>
      </c>
      <c r="D91" s="26" t="s">
        <v>74</v>
      </c>
      <c r="E91" s="26" t="s">
        <v>75</v>
      </c>
      <c r="F91" s="26" t="s">
        <v>76</v>
      </c>
      <c r="G91" s="26" t="s">
        <v>77</v>
      </c>
      <c r="H91" s="26" t="s">
        <v>78</v>
      </c>
      <c r="I91" s="26" t="s">
        <v>79</v>
      </c>
      <c r="J91" s="26" t="s">
        <v>80</v>
      </c>
      <c r="K91" s="26" t="s">
        <v>81</v>
      </c>
      <c r="L91" s="26" t="s">
        <v>82</v>
      </c>
      <c r="M91" s="26" t="s">
        <v>83</v>
      </c>
      <c r="N91" s="26" t="s">
        <v>84</v>
      </c>
      <c r="O91" s="26" t="s">
        <v>85</v>
      </c>
      <c r="R91" s="45" t="s">
        <v>204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1:41" x14ac:dyDescent="0.55000000000000004">
      <c r="B92" s="1" t="s">
        <v>86</v>
      </c>
      <c r="C92" s="1" t="s">
        <v>87</v>
      </c>
      <c r="D92" s="1" t="s">
        <v>88</v>
      </c>
      <c r="E92" s="44">
        <v>34398</v>
      </c>
      <c r="F92" s="1" t="str">
        <f>VLOOKUP(YEAR(E92),Gen!$F$3:$G$9,2)</f>
        <v>Gen Y</v>
      </c>
      <c r="G92" s="1" t="str">
        <f>F92</f>
        <v>Gen Y</v>
      </c>
      <c r="H92" s="1" t="s">
        <v>89</v>
      </c>
      <c r="I92" s="1" t="s">
        <v>90</v>
      </c>
      <c r="J92" s="7">
        <v>13000</v>
      </c>
      <c r="K92" s="43">
        <v>42428</v>
      </c>
      <c r="L92" s="44">
        <v>42608</v>
      </c>
      <c r="M92" s="1" t="s">
        <v>91</v>
      </c>
      <c r="N92" s="1">
        <v>9.68</v>
      </c>
      <c r="O92" s="1" t="s">
        <v>92</v>
      </c>
      <c r="R92"/>
      <c r="S92" t="s">
        <v>122</v>
      </c>
      <c r="T92"/>
      <c r="U92"/>
      <c r="V92" t="s">
        <v>206</v>
      </c>
      <c r="W92" t="s">
        <v>98</v>
      </c>
      <c r="X92"/>
      <c r="Y92"/>
      <c r="Z92"/>
      <c r="AA92"/>
      <c r="AB92" t="s">
        <v>207</v>
      </c>
      <c r="AC92" t="s">
        <v>90</v>
      </c>
      <c r="AD92"/>
      <c r="AE92"/>
      <c r="AF92"/>
      <c r="AG92" t="s">
        <v>208</v>
      </c>
      <c r="AH92" t="s">
        <v>160</v>
      </c>
      <c r="AI92" t="s">
        <v>209</v>
      </c>
      <c r="AJ92" t="s">
        <v>107</v>
      </c>
      <c r="AK92"/>
      <c r="AL92"/>
      <c r="AM92"/>
      <c r="AN92" t="s">
        <v>210</v>
      </c>
      <c r="AO92" t="s">
        <v>203</v>
      </c>
    </row>
    <row r="93" spans="1:41" x14ac:dyDescent="0.55000000000000004">
      <c r="B93" s="1" t="s">
        <v>93</v>
      </c>
      <c r="C93" s="1" t="s">
        <v>94</v>
      </c>
      <c r="D93" s="1" t="s">
        <v>95</v>
      </c>
      <c r="E93" s="44">
        <v>25178</v>
      </c>
      <c r="F93" s="1" t="str">
        <f>VLOOKUP(YEAR(E93),Gen!$F$3:$G$9,2)</f>
        <v>Gen X</v>
      </c>
      <c r="G93" s="1" t="str">
        <f t="shared" ref="G93:G122" si="33">F93</f>
        <v>Gen X</v>
      </c>
      <c r="H93" s="1" t="s">
        <v>97</v>
      </c>
      <c r="I93" s="1" t="s">
        <v>98</v>
      </c>
      <c r="J93" s="7">
        <v>40000</v>
      </c>
      <c r="K93" s="43">
        <v>32111</v>
      </c>
      <c r="L93" s="44">
        <v>32291</v>
      </c>
      <c r="M93" s="1" t="s">
        <v>91</v>
      </c>
      <c r="N93" s="1">
        <v>37.92</v>
      </c>
      <c r="O93" s="1" t="s">
        <v>99</v>
      </c>
      <c r="R93"/>
      <c r="S93" t="s">
        <v>89</v>
      </c>
      <c r="T93" t="s">
        <v>97</v>
      </c>
      <c r="U93" t="s">
        <v>121</v>
      </c>
      <c r="V93"/>
      <c r="W93" t="s">
        <v>138</v>
      </c>
      <c r="X93" t="s">
        <v>89</v>
      </c>
      <c r="Y93" t="s">
        <v>97</v>
      </c>
      <c r="Z93" t="s">
        <v>106</v>
      </c>
      <c r="AA93" t="s">
        <v>111</v>
      </c>
      <c r="AB93"/>
      <c r="AC93" t="s">
        <v>89</v>
      </c>
      <c r="AD93" t="s">
        <v>97</v>
      </c>
      <c r="AE93" t="s">
        <v>121</v>
      </c>
      <c r="AF93" t="s">
        <v>106</v>
      </c>
      <c r="AG93"/>
      <c r="AH93" t="s">
        <v>106</v>
      </c>
      <c r="AI93"/>
      <c r="AJ93" t="s">
        <v>89</v>
      </c>
      <c r="AK93" t="s">
        <v>97</v>
      </c>
      <c r="AL93" t="s">
        <v>106</v>
      </c>
      <c r="AM93" t="s">
        <v>111</v>
      </c>
      <c r="AN93"/>
      <c r="AO93"/>
    </row>
    <row r="94" spans="1:41" x14ac:dyDescent="0.55000000000000004">
      <c r="B94" s="1" t="s">
        <v>100</v>
      </c>
      <c r="C94" s="1" t="s">
        <v>101</v>
      </c>
      <c r="D94" s="1" t="s">
        <v>95</v>
      </c>
      <c r="E94" s="44">
        <v>31929</v>
      </c>
      <c r="F94" s="1" t="str">
        <f>VLOOKUP(YEAR(E94),Gen!$F$3:$G$9,2)</f>
        <v>Gen Y</v>
      </c>
      <c r="G94" s="1" t="str">
        <f t="shared" si="33"/>
        <v>Gen Y</v>
      </c>
      <c r="H94" s="1" t="s">
        <v>97</v>
      </c>
      <c r="I94" s="1" t="s">
        <v>98</v>
      </c>
      <c r="J94" s="7">
        <v>25000</v>
      </c>
      <c r="K94" s="43">
        <v>39959</v>
      </c>
      <c r="L94" s="44">
        <v>40139</v>
      </c>
      <c r="M94" s="1" t="s">
        <v>91</v>
      </c>
      <c r="N94" s="1">
        <v>16.43</v>
      </c>
      <c r="O94" s="1" t="s">
        <v>103</v>
      </c>
      <c r="R94" s="46" t="s">
        <v>198</v>
      </c>
      <c r="S94"/>
      <c r="T94">
        <v>1</v>
      </c>
      <c r="U94"/>
      <c r="V94">
        <v>1</v>
      </c>
      <c r="W94"/>
      <c r="X94">
        <v>1</v>
      </c>
      <c r="Y94"/>
      <c r="Z94">
        <v>2</v>
      </c>
      <c r="AA94"/>
      <c r="AB94">
        <v>3</v>
      </c>
      <c r="AC94"/>
      <c r="AD94">
        <v>1</v>
      </c>
      <c r="AE94"/>
      <c r="AF94">
        <v>1</v>
      </c>
      <c r="AG94">
        <v>2</v>
      </c>
      <c r="AH94"/>
      <c r="AI94"/>
      <c r="AJ94"/>
      <c r="AK94">
        <v>2</v>
      </c>
      <c r="AL94"/>
      <c r="AM94"/>
      <c r="AN94">
        <v>2</v>
      </c>
      <c r="AO94">
        <v>8</v>
      </c>
    </row>
    <row r="95" spans="1:41" x14ac:dyDescent="0.55000000000000004">
      <c r="B95" s="1" t="s">
        <v>104</v>
      </c>
      <c r="C95" s="1" t="s">
        <v>105</v>
      </c>
      <c r="D95" s="1" t="s">
        <v>88</v>
      </c>
      <c r="E95" s="44">
        <v>33446</v>
      </c>
      <c r="F95" s="1" t="str">
        <f>VLOOKUP(YEAR(E95),Gen!$F$3:$G$9,2)</f>
        <v>Gen Y</v>
      </c>
      <c r="G95" s="1" t="str">
        <f t="shared" si="33"/>
        <v>Gen Y</v>
      </c>
      <c r="H95" s="1" t="s">
        <v>106</v>
      </c>
      <c r="I95" s="1" t="s">
        <v>107</v>
      </c>
      <c r="J95" s="7">
        <v>39000</v>
      </c>
      <c r="K95" s="43">
        <v>42206</v>
      </c>
      <c r="L95" s="44">
        <v>42386</v>
      </c>
      <c r="M95" s="1" t="s">
        <v>91</v>
      </c>
      <c r="N95" s="1">
        <v>10.28</v>
      </c>
      <c r="O95" s="1" t="s">
        <v>108</v>
      </c>
      <c r="R95" s="46" t="s">
        <v>96</v>
      </c>
      <c r="S95"/>
      <c r="T95">
        <v>1</v>
      </c>
      <c r="U95"/>
      <c r="V95">
        <v>1</v>
      </c>
      <c r="W95">
        <v>2</v>
      </c>
      <c r="X95"/>
      <c r="Y95">
        <v>1</v>
      </c>
      <c r="Z95"/>
      <c r="AA95">
        <v>1</v>
      </c>
      <c r="AB95">
        <v>4</v>
      </c>
      <c r="AC95"/>
      <c r="AD95">
        <v>1</v>
      </c>
      <c r="AE95">
        <v>1</v>
      </c>
      <c r="AF95">
        <v>1</v>
      </c>
      <c r="AG95">
        <v>3</v>
      </c>
      <c r="AH95"/>
      <c r="AI95"/>
      <c r="AJ95">
        <v>1</v>
      </c>
      <c r="AK95"/>
      <c r="AL95"/>
      <c r="AM95">
        <v>1</v>
      </c>
      <c r="AN95">
        <v>2</v>
      </c>
      <c r="AO95">
        <v>10</v>
      </c>
    </row>
    <row r="96" spans="1:41" x14ac:dyDescent="0.55000000000000004">
      <c r="B96" s="1" t="s">
        <v>109</v>
      </c>
      <c r="C96" s="1" t="s">
        <v>110</v>
      </c>
      <c r="D96" s="1" t="s">
        <v>95</v>
      </c>
      <c r="E96" s="44">
        <v>27262</v>
      </c>
      <c r="F96" s="1" t="str">
        <f>VLOOKUP(YEAR(E96),Gen!$F$3:$G$9,2)</f>
        <v>Gen X</v>
      </c>
      <c r="G96" s="1" t="str">
        <f t="shared" si="33"/>
        <v>Gen X</v>
      </c>
      <c r="H96" s="1" t="s">
        <v>111</v>
      </c>
      <c r="I96" s="1" t="s">
        <v>107</v>
      </c>
      <c r="J96" s="7">
        <v>82500</v>
      </c>
      <c r="K96" s="43">
        <v>39343</v>
      </c>
      <c r="L96" s="44">
        <v>39523</v>
      </c>
      <c r="M96" s="1" t="s">
        <v>91</v>
      </c>
      <c r="N96" s="1">
        <v>18.12</v>
      </c>
      <c r="O96" s="1" t="s">
        <v>112</v>
      </c>
      <c r="R96" s="46" t="s">
        <v>102</v>
      </c>
      <c r="S96">
        <v>1</v>
      </c>
      <c r="T96">
        <v>1</v>
      </c>
      <c r="U96">
        <v>1</v>
      </c>
      <c r="V96">
        <v>3</v>
      </c>
      <c r="W96"/>
      <c r="X96"/>
      <c r="Y96">
        <v>1</v>
      </c>
      <c r="Z96"/>
      <c r="AA96"/>
      <c r="AB96">
        <v>1</v>
      </c>
      <c r="AC96">
        <v>1</v>
      </c>
      <c r="AD96"/>
      <c r="AE96"/>
      <c r="AF96"/>
      <c r="AG96">
        <v>1</v>
      </c>
      <c r="AH96"/>
      <c r="AI96"/>
      <c r="AJ96">
        <v>1</v>
      </c>
      <c r="AK96">
        <v>1</v>
      </c>
      <c r="AL96">
        <v>3</v>
      </c>
      <c r="AM96">
        <v>1</v>
      </c>
      <c r="AN96">
        <v>6</v>
      </c>
      <c r="AO96">
        <v>11</v>
      </c>
    </row>
    <row r="97" spans="2:41" x14ac:dyDescent="0.55000000000000004">
      <c r="B97" s="1" t="s">
        <v>113</v>
      </c>
      <c r="C97" s="1" t="s">
        <v>114</v>
      </c>
      <c r="D97" s="1" t="s">
        <v>95</v>
      </c>
      <c r="E97" s="44">
        <v>27621</v>
      </c>
      <c r="F97" s="1" t="str">
        <f>VLOOKUP(YEAR(E97),Gen!$F$3:$G$9,2)</f>
        <v>Gen X</v>
      </c>
      <c r="G97" s="1" t="str">
        <f t="shared" si="33"/>
        <v>Gen X</v>
      </c>
      <c r="H97" s="1" t="s">
        <v>106</v>
      </c>
      <c r="I97" s="1" t="s">
        <v>90</v>
      </c>
      <c r="J97" s="7">
        <v>38000</v>
      </c>
      <c r="K97" s="43">
        <v>35286</v>
      </c>
      <c r="L97" s="44">
        <v>35466</v>
      </c>
      <c r="M97" s="1" t="s">
        <v>91</v>
      </c>
      <c r="N97" s="1">
        <v>29.23</v>
      </c>
      <c r="O97" s="1" t="s">
        <v>115</v>
      </c>
      <c r="R97" s="46" t="s">
        <v>71</v>
      </c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>
        <v>1</v>
      </c>
      <c r="AI97">
        <v>1</v>
      </c>
      <c r="AJ97"/>
      <c r="AK97"/>
      <c r="AL97">
        <v>1</v>
      </c>
      <c r="AM97"/>
      <c r="AN97">
        <v>1</v>
      </c>
      <c r="AO97">
        <v>2</v>
      </c>
    </row>
    <row r="98" spans="2:41" x14ac:dyDescent="0.55000000000000004">
      <c r="B98" s="1" t="s">
        <v>116</v>
      </c>
      <c r="C98" s="1" t="s">
        <v>117</v>
      </c>
      <c r="D98" s="1" t="s">
        <v>88</v>
      </c>
      <c r="E98" s="44">
        <v>23323</v>
      </c>
      <c r="F98" s="1" t="str">
        <f>VLOOKUP(YEAR(E98),Gen!$F$3:$G$9,2)</f>
        <v>Biby Boomer</v>
      </c>
      <c r="G98" s="1" t="str">
        <f t="shared" si="33"/>
        <v>Biby Boomer</v>
      </c>
      <c r="H98" s="1" t="s">
        <v>106</v>
      </c>
      <c r="I98" s="1" t="s">
        <v>98</v>
      </c>
      <c r="J98" s="7">
        <v>35000</v>
      </c>
      <c r="K98" s="43">
        <v>30988</v>
      </c>
      <c r="L98" s="44">
        <v>31168</v>
      </c>
      <c r="M98" s="1" t="s">
        <v>91</v>
      </c>
      <c r="N98" s="1">
        <v>41</v>
      </c>
      <c r="O98" s="1" t="s">
        <v>118</v>
      </c>
      <c r="R98" s="46" t="s">
        <v>203</v>
      </c>
      <c r="S98">
        <v>1</v>
      </c>
      <c r="T98">
        <v>3</v>
      </c>
      <c r="U98">
        <v>1</v>
      </c>
      <c r="V98">
        <v>5</v>
      </c>
      <c r="W98">
        <v>2</v>
      </c>
      <c r="X98">
        <v>1</v>
      </c>
      <c r="Y98">
        <v>2</v>
      </c>
      <c r="Z98">
        <v>2</v>
      </c>
      <c r="AA98">
        <v>1</v>
      </c>
      <c r="AB98">
        <v>8</v>
      </c>
      <c r="AC98">
        <v>1</v>
      </c>
      <c r="AD98">
        <v>2</v>
      </c>
      <c r="AE98">
        <v>1</v>
      </c>
      <c r="AF98">
        <v>2</v>
      </c>
      <c r="AG98">
        <v>6</v>
      </c>
      <c r="AH98">
        <v>1</v>
      </c>
      <c r="AI98">
        <v>1</v>
      </c>
      <c r="AJ98">
        <v>2</v>
      </c>
      <c r="AK98">
        <v>3</v>
      </c>
      <c r="AL98">
        <v>4</v>
      </c>
      <c r="AM98">
        <v>2</v>
      </c>
      <c r="AN98">
        <v>11</v>
      </c>
      <c r="AO98">
        <v>31</v>
      </c>
    </row>
    <row r="99" spans="2:41" x14ac:dyDescent="0.55000000000000004">
      <c r="B99" s="1" t="s">
        <v>119</v>
      </c>
      <c r="C99" s="1" t="s">
        <v>120</v>
      </c>
      <c r="D99" s="1" t="s">
        <v>95</v>
      </c>
      <c r="E99" s="44">
        <v>30484</v>
      </c>
      <c r="F99" s="1" t="str">
        <f>VLOOKUP(YEAR(E99),Gen!$F$3:$G$9,2)</f>
        <v>Gen Y</v>
      </c>
      <c r="G99" s="1" t="str">
        <f t="shared" si="33"/>
        <v>Gen Y</v>
      </c>
      <c r="H99" s="1" t="s">
        <v>121</v>
      </c>
      <c r="I99" s="1" t="s">
        <v>122</v>
      </c>
      <c r="J99" s="7">
        <v>21000</v>
      </c>
      <c r="K99" s="43">
        <v>42805</v>
      </c>
      <c r="L99" s="44">
        <v>42985</v>
      </c>
      <c r="M99" s="1" t="s">
        <v>91</v>
      </c>
      <c r="N99" s="1">
        <v>8.64</v>
      </c>
      <c r="O99" s="1" t="s">
        <v>123</v>
      </c>
      <c r="Q99"/>
      <c r="R99"/>
      <c r="S99"/>
    </row>
    <row r="100" spans="2:41" x14ac:dyDescent="0.55000000000000004">
      <c r="B100" s="1" t="s">
        <v>124</v>
      </c>
      <c r="C100" s="1" t="s">
        <v>125</v>
      </c>
      <c r="D100" s="1" t="s">
        <v>95</v>
      </c>
      <c r="E100" s="44">
        <v>31819</v>
      </c>
      <c r="F100" s="1" t="str">
        <f>VLOOKUP(YEAR(E100),Gen!$F$3:$G$9,2)</f>
        <v>Gen Y</v>
      </c>
      <c r="G100" s="1" t="str">
        <f t="shared" si="33"/>
        <v>Gen Y</v>
      </c>
      <c r="H100" s="1" t="s">
        <v>89</v>
      </c>
      <c r="I100" s="1" t="s">
        <v>107</v>
      </c>
      <c r="J100" s="7">
        <v>36000</v>
      </c>
      <c r="K100" s="43">
        <v>40944</v>
      </c>
      <c r="L100" s="44">
        <v>41124</v>
      </c>
      <c r="M100" s="1" t="s">
        <v>91</v>
      </c>
      <c r="N100" s="1">
        <v>13.74</v>
      </c>
      <c r="O100" s="1" t="s">
        <v>126</v>
      </c>
      <c r="Q100"/>
      <c r="R100"/>
      <c r="S100"/>
    </row>
    <row r="101" spans="2:41" x14ac:dyDescent="0.55000000000000004">
      <c r="B101" s="1" t="s">
        <v>127</v>
      </c>
      <c r="C101" s="1" t="s">
        <v>128</v>
      </c>
      <c r="D101" s="1" t="s">
        <v>95</v>
      </c>
      <c r="E101" s="44">
        <v>22739</v>
      </c>
      <c r="F101" s="1" t="str">
        <f>VLOOKUP(YEAR(E101),Gen!$F$3:$G$9,2)</f>
        <v>Biby Boomer</v>
      </c>
      <c r="G101" s="1" t="str">
        <f t="shared" si="33"/>
        <v>Biby Boomer</v>
      </c>
      <c r="H101" s="1" t="s">
        <v>106</v>
      </c>
      <c r="I101" s="1" t="s">
        <v>90</v>
      </c>
      <c r="J101" s="7">
        <v>25000</v>
      </c>
      <c r="K101" s="43">
        <v>42822</v>
      </c>
      <c r="L101" s="44">
        <v>43002</v>
      </c>
      <c r="M101" s="1" t="s">
        <v>91</v>
      </c>
      <c r="N101" s="1">
        <v>8.59</v>
      </c>
      <c r="O101" s="1" t="s">
        <v>129</v>
      </c>
      <c r="Q101"/>
      <c r="R101"/>
      <c r="S101"/>
    </row>
    <row r="102" spans="2:41" x14ac:dyDescent="0.55000000000000004">
      <c r="B102" s="1" t="s">
        <v>130</v>
      </c>
      <c r="C102" s="1" t="s">
        <v>131</v>
      </c>
      <c r="D102" s="1" t="s">
        <v>95</v>
      </c>
      <c r="E102" s="44">
        <v>26416</v>
      </c>
      <c r="F102" s="1" t="str">
        <f>VLOOKUP(YEAR(E102),Gen!$F$3:$G$9,2)</f>
        <v>Gen X</v>
      </c>
      <c r="G102" s="1" t="str">
        <f t="shared" si="33"/>
        <v>Gen X</v>
      </c>
      <c r="H102" s="1" t="s">
        <v>89</v>
      </c>
      <c r="I102" s="1" t="s">
        <v>107</v>
      </c>
      <c r="J102" s="7">
        <v>101500</v>
      </c>
      <c r="K102" s="43">
        <v>37193</v>
      </c>
      <c r="L102" s="44">
        <v>37373</v>
      </c>
      <c r="M102" s="1" t="s">
        <v>91</v>
      </c>
      <c r="N102" s="1">
        <v>24.01</v>
      </c>
      <c r="O102" s="1" t="s">
        <v>132</v>
      </c>
      <c r="Q102"/>
      <c r="R102"/>
      <c r="S102"/>
    </row>
    <row r="103" spans="2:41" x14ac:dyDescent="0.55000000000000004">
      <c r="B103" s="1" t="s">
        <v>133</v>
      </c>
      <c r="C103" s="1" t="s">
        <v>134</v>
      </c>
      <c r="D103" s="1" t="s">
        <v>88</v>
      </c>
      <c r="E103" s="44">
        <v>30449</v>
      </c>
      <c r="F103" s="1" t="str">
        <f>VLOOKUP(YEAR(E103),Gen!$F$3:$G$9,2)</f>
        <v>Gen Y</v>
      </c>
      <c r="G103" s="1" t="str">
        <f t="shared" si="33"/>
        <v>Gen Y</v>
      </c>
      <c r="H103" s="1" t="s">
        <v>97</v>
      </c>
      <c r="I103" s="1" t="s">
        <v>107</v>
      </c>
      <c r="J103" s="7">
        <v>77500</v>
      </c>
      <c r="K103" s="43">
        <v>38054</v>
      </c>
      <c r="L103" s="44">
        <v>38234</v>
      </c>
      <c r="M103" s="1" t="s">
        <v>91</v>
      </c>
      <c r="N103" s="1">
        <v>21.65</v>
      </c>
      <c r="O103" s="1" t="s">
        <v>135</v>
      </c>
      <c r="Q103"/>
      <c r="R103"/>
      <c r="S103"/>
    </row>
    <row r="104" spans="2:41" x14ac:dyDescent="0.55000000000000004">
      <c r="B104" s="1" t="s">
        <v>136</v>
      </c>
      <c r="C104" s="1" t="s">
        <v>137</v>
      </c>
      <c r="D104" s="1" t="s">
        <v>88</v>
      </c>
      <c r="E104" s="44">
        <v>26695</v>
      </c>
      <c r="F104" s="1" t="str">
        <f>VLOOKUP(YEAR(E104),Gen!$F$3:$G$9,2)</f>
        <v>Gen X</v>
      </c>
      <c r="G104" s="1" t="str">
        <f t="shared" si="33"/>
        <v>Gen X</v>
      </c>
      <c r="H104" s="1" t="s">
        <v>138</v>
      </c>
      <c r="I104" s="1" t="s">
        <v>98</v>
      </c>
      <c r="J104" s="7">
        <v>50500</v>
      </c>
      <c r="K104" s="43">
        <v>38459</v>
      </c>
      <c r="L104" s="44">
        <v>38639</v>
      </c>
      <c r="M104" s="1" t="s">
        <v>91</v>
      </c>
      <c r="N104" s="1">
        <v>20.54</v>
      </c>
      <c r="O104" s="1" t="s">
        <v>139</v>
      </c>
      <c r="Q104"/>
      <c r="R104"/>
      <c r="S104"/>
    </row>
    <row r="105" spans="2:41" x14ac:dyDescent="0.55000000000000004">
      <c r="B105" s="1" t="s">
        <v>140</v>
      </c>
      <c r="C105" s="1" t="s">
        <v>141</v>
      </c>
      <c r="D105" s="1" t="s">
        <v>88</v>
      </c>
      <c r="E105" s="44">
        <v>33768</v>
      </c>
      <c r="F105" s="1" t="str">
        <f>VLOOKUP(YEAR(E105),Gen!$F$3:$G$9,2)</f>
        <v>Gen Y</v>
      </c>
      <c r="G105" s="1" t="str">
        <f t="shared" si="33"/>
        <v>Gen Y</v>
      </c>
      <c r="H105" s="1" t="s">
        <v>111</v>
      </c>
      <c r="I105" s="1" t="s">
        <v>107</v>
      </c>
      <c r="J105" s="7">
        <v>16000</v>
      </c>
      <c r="K105" s="43">
        <v>42740</v>
      </c>
      <c r="L105" s="44">
        <v>42920</v>
      </c>
      <c r="M105" s="1" t="s">
        <v>91</v>
      </c>
      <c r="N105" s="1">
        <v>8.82</v>
      </c>
      <c r="O105" s="1" t="s">
        <v>142</v>
      </c>
      <c r="Q105"/>
      <c r="R105"/>
      <c r="S105"/>
    </row>
    <row r="106" spans="2:41" x14ac:dyDescent="0.55000000000000004">
      <c r="B106" s="1" t="s">
        <v>143</v>
      </c>
      <c r="C106" s="1" t="s">
        <v>144</v>
      </c>
      <c r="D106" s="1" t="s">
        <v>95</v>
      </c>
      <c r="E106" s="44">
        <v>24970</v>
      </c>
      <c r="F106" s="1" t="str">
        <f>VLOOKUP(YEAR(E106),Gen!$F$3:$G$9,2)</f>
        <v>Gen X</v>
      </c>
      <c r="G106" s="1" t="str">
        <f t="shared" si="33"/>
        <v>Gen X</v>
      </c>
      <c r="H106" s="1" t="s">
        <v>97</v>
      </c>
      <c r="I106" s="1" t="s">
        <v>122</v>
      </c>
      <c r="J106" s="7">
        <v>73000</v>
      </c>
      <c r="K106" s="43">
        <v>38066</v>
      </c>
      <c r="L106" s="44">
        <v>38246</v>
      </c>
      <c r="M106" s="1" t="s">
        <v>91</v>
      </c>
      <c r="N106" s="1">
        <v>21.61</v>
      </c>
      <c r="O106" s="1" t="s">
        <v>145</v>
      </c>
      <c r="Q106"/>
      <c r="R106"/>
      <c r="S106"/>
    </row>
    <row r="107" spans="2:41" x14ac:dyDescent="0.55000000000000004">
      <c r="B107" s="1" t="s">
        <v>146</v>
      </c>
      <c r="C107" s="1" t="s">
        <v>147</v>
      </c>
      <c r="D107" s="1" t="s">
        <v>95</v>
      </c>
      <c r="E107" s="44">
        <v>22635</v>
      </c>
      <c r="F107" s="1" t="str">
        <f>VLOOKUP(YEAR(E107),Gen!$F$3:$G$9,2)</f>
        <v>Biby Boomer</v>
      </c>
      <c r="G107" s="1" t="str">
        <f t="shared" si="33"/>
        <v>Biby Boomer</v>
      </c>
      <c r="H107" s="1" t="s">
        <v>97</v>
      </c>
      <c r="I107" s="1" t="s">
        <v>122</v>
      </c>
      <c r="J107" s="7">
        <v>75000</v>
      </c>
      <c r="K107" s="43">
        <v>37891</v>
      </c>
      <c r="L107" s="44">
        <v>38071</v>
      </c>
      <c r="M107" s="1" t="s">
        <v>91</v>
      </c>
      <c r="N107" s="1">
        <v>22.09</v>
      </c>
      <c r="O107" s="1" t="s">
        <v>148</v>
      </c>
      <c r="Q107"/>
      <c r="R107"/>
      <c r="S107"/>
    </row>
    <row r="108" spans="2:41" x14ac:dyDescent="0.55000000000000004">
      <c r="B108" s="1" t="s">
        <v>149</v>
      </c>
      <c r="C108" s="1" t="s">
        <v>150</v>
      </c>
      <c r="D108" s="1" t="s">
        <v>88</v>
      </c>
      <c r="E108" s="44">
        <v>34200</v>
      </c>
      <c r="F108" s="1" t="str">
        <f>VLOOKUP(YEAR(E108),Gen!$F$3:$G$9,2)</f>
        <v>Gen Y</v>
      </c>
      <c r="G108" s="1" t="str">
        <f t="shared" si="33"/>
        <v>Gen Y</v>
      </c>
      <c r="H108" s="1" t="s">
        <v>106</v>
      </c>
      <c r="I108" s="1" t="s">
        <v>107</v>
      </c>
      <c r="J108" s="7">
        <v>40000</v>
      </c>
      <c r="K108" s="43">
        <v>42229</v>
      </c>
      <c r="L108" s="44">
        <v>42409</v>
      </c>
      <c r="M108" s="1" t="s">
        <v>91</v>
      </c>
      <c r="N108" s="1">
        <v>10.220000000000001</v>
      </c>
      <c r="O108" s="1" t="s">
        <v>151</v>
      </c>
      <c r="Q108"/>
      <c r="R108"/>
      <c r="S108"/>
    </row>
    <row r="109" spans="2:41" x14ac:dyDescent="0.55000000000000004">
      <c r="B109" s="1" t="s">
        <v>152</v>
      </c>
      <c r="C109" s="1" t="s">
        <v>153</v>
      </c>
      <c r="D109" s="1" t="s">
        <v>88</v>
      </c>
      <c r="E109" s="44">
        <v>23488</v>
      </c>
      <c r="F109" s="1" t="str">
        <f>VLOOKUP(YEAR(E109),Gen!$F$3:$G$9,2)</f>
        <v>Biby Boomer</v>
      </c>
      <c r="G109" s="1" t="str">
        <f t="shared" si="33"/>
        <v>Biby Boomer</v>
      </c>
      <c r="H109" s="1" t="s">
        <v>97</v>
      </c>
      <c r="I109" s="1" t="s">
        <v>90</v>
      </c>
      <c r="J109" s="7">
        <v>27000</v>
      </c>
      <c r="K109" s="43">
        <v>31153</v>
      </c>
      <c r="L109" s="44">
        <v>31333</v>
      </c>
      <c r="M109" s="1" t="s">
        <v>91</v>
      </c>
      <c r="N109" s="1">
        <v>40.54</v>
      </c>
      <c r="O109" s="1" t="s">
        <v>154</v>
      </c>
    </row>
    <row r="110" spans="2:41" x14ac:dyDescent="0.55000000000000004">
      <c r="B110" s="1" t="s">
        <v>155</v>
      </c>
      <c r="C110" s="1" t="s">
        <v>156</v>
      </c>
      <c r="D110" s="1" t="s">
        <v>95</v>
      </c>
      <c r="E110" s="44">
        <v>23212</v>
      </c>
      <c r="F110" s="1" t="str">
        <f>VLOOKUP(YEAR(E110),Gen!$F$3:$G$9,2)</f>
        <v>Biby Boomer</v>
      </c>
      <c r="G110" s="1" t="str">
        <f t="shared" si="33"/>
        <v>Biby Boomer</v>
      </c>
      <c r="H110" s="1" t="s">
        <v>97</v>
      </c>
      <c r="I110" s="1" t="s">
        <v>107</v>
      </c>
      <c r="J110" s="7">
        <v>10000</v>
      </c>
      <c r="K110" s="43">
        <v>31972</v>
      </c>
      <c r="L110" s="44">
        <v>32152</v>
      </c>
      <c r="M110" s="1" t="s">
        <v>91</v>
      </c>
      <c r="N110" s="1">
        <v>38.299999999999997</v>
      </c>
      <c r="O110" s="1" t="s">
        <v>157</v>
      </c>
    </row>
    <row r="111" spans="2:41" x14ac:dyDescent="0.55000000000000004">
      <c r="B111" s="1" t="s">
        <v>158</v>
      </c>
      <c r="C111" s="1" t="s">
        <v>159</v>
      </c>
      <c r="D111" s="1" t="s">
        <v>95</v>
      </c>
      <c r="E111" s="44">
        <v>36438</v>
      </c>
      <c r="F111" s="1" t="str">
        <f>VLOOKUP(YEAR(E111),Gen!$F$3:$G$9,2)</f>
        <v>Gen Z</v>
      </c>
      <c r="G111" s="1" t="str">
        <f t="shared" si="33"/>
        <v>Gen Z</v>
      </c>
      <c r="H111" s="1" t="s">
        <v>106</v>
      </c>
      <c r="I111" s="1" t="s">
        <v>160</v>
      </c>
      <c r="J111" s="7">
        <v>24000</v>
      </c>
      <c r="K111" s="43">
        <v>39861</v>
      </c>
      <c r="L111" s="44">
        <v>40041</v>
      </c>
      <c r="M111" s="1" t="s">
        <v>91</v>
      </c>
      <c r="N111" s="1">
        <v>16.71</v>
      </c>
      <c r="O111" s="1" t="s">
        <v>161</v>
      </c>
    </row>
    <row r="112" spans="2:41" x14ac:dyDescent="0.55000000000000004">
      <c r="B112" s="1" t="s">
        <v>162</v>
      </c>
      <c r="C112" s="1" t="s">
        <v>163</v>
      </c>
      <c r="D112" s="1" t="s">
        <v>88</v>
      </c>
      <c r="E112" s="44">
        <v>27325</v>
      </c>
      <c r="F112" s="1" t="str">
        <f>VLOOKUP(YEAR(E112),Gen!$F$3:$G$9,2)</f>
        <v>Gen X</v>
      </c>
      <c r="G112" s="1" t="str">
        <f t="shared" si="33"/>
        <v>Gen X</v>
      </c>
      <c r="H112" s="1" t="s">
        <v>121</v>
      </c>
      <c r="I112" s="1" t="s">
        <v>90</v>
      </c>
      <c r="J112" s="7">
        <v>36500</v>
      </c>
      <c r="K112" s="43">
        <v>39113</v>
      </c>
      <c r="L112" s="44">
        <v>39293</v>
      </c>
      <c r="M112" s="1" t="s">
        <v>91</v>
      </c>
      <c r="N112" s="1">
        <v>18.75</v>
      </c>
      <c r="O112" s="1" t="s">
        <v>164</v>
      </c>
    </row>
    <row r="113" spans="1:26" x14ac:dyDescent="0.55000000000000004">
      <c r="B113" s="1" t="s">
        <v>165</v>
      </c>
      <c r="C113" s="1" t="s">
        <v>166</v>
      </c>
      <c r="D113" s="1" t="s">
        <v>95</v>
      </c>
      <c r="E113" s="44">
        <v>22252</v>
      </c>
      <c r="F113" s="1" t="str">
        <f>VLOOKUP(YEAR(E113),Gen!$F$3:$G$9,2)</f>
        <v>Biby Boomer</v>
      </c>
      <c r="G113" s="1" t="str">
        <f t="shared" si="33"/>
        <v>Biby Boomer</v>
      </c>
      <c r="H113" s="1" t="s">
        <v>89</v>
      </c>
      <c r="I113" s="1" t="s">
        <v>98</v>
      </c>
      <c r="J113" s="7">
        <v>106000</v>
      </c>
      <c r="K113" s="43">
        <v>39256</v>
      </c>
      <c r="L113" s="44">
        <v>39436</v>
      </c>
      <c r="M113" s="1" t="s">
        <v>91</v>
      </c>
      <c r="N113" s="1">
        <v>18.36</v>
      </c>
      <c r="O113" s="1" t="s">
        <v>167</v>
      </c>
    </row>
    <row r="114" spans="1:26" x14ac:dyDescent="0.55000000000000004">
      <c r="B114" s="1" t="s">
        <v>168</v>
      </c>
      <c r="C114" s="1" t="s">
        <v>169</v>
      </c>
      <c r="D114" s="1" t="s">
        <v>95</v>
      </c>
      <c r="E114" s="44">
        <v>27676</v>
      </c>
      <c r="F114" s="1" t="str">
        <f>VLOOKUP(YEAR(E114),Gen!$F$3:$G$9,2)</f>
        <v>Gen X</v>
      </c>
      <c r="G114" s="1" t="str">
        <f t="shared" si="33"/>
        <v>Gen X</v>
      </c>
      <c r="H114" s="1" t="s">
        <v>111</v>
      </c>
      <c r="I114" s="1" t="s">
        <v>98</v>
      </c>
      <c r="J114" s="7">
        <v>25000</v>
      </c>
      <c r="K114" s="43">
        <v>35706</v>
      </c>
      <c r="L114" s="44">
        <v>35886</v>
      </c>
      <c r="M114" s="1" t="s">
        <v>91</v>
      </c>
      <c r="N114" s="1">
        <v>28.08</v>
      </c>
      <c r="O114" s="1" t="s">
        <v>170</v>
      </c>
    </row>
    <row r="115" spans="1:26" x14ac:dyDescent="0.55000000000000004">
      <c r="B115" s="1" t="s">
        <v>171</v>
      </c>
      <c r="C115" s="1" t="s">
        <v>172</v>
      </c>
      <c r="D115" s="1" t="s">
        <v>95</v>
      </c>
      <c r="E115" s="44">
        <v>31200</v>
      </c>
      <c r="F115" s="1" t="str">
        <f>VLOOKUP(YEAR(E115),Gen!$F$3:$G$9,2)</f>
        <v>Gen Y</v>
      </c>
      <c r="G115" s="1" t="str">
        <f t="shared" si="33"/>
        <v>Gen Y</v>
      </c>
      <c r="H115" s="1" t="s">
        <v>89</v>
      </c>
      <c r="I115" s="1" t="s">
        <v>122</v>
      </c>
      <c r="J115" s="7">
        <v>11000</v>
      </c>
      <c r="K115" s="43">
        <v>39230</v>
      </c>
      <c r="L115" s="44">
        <v>39410</v>
      </c>
      <c r="M115" s="1" t="s">
        <v>91</v>
      </c>
      <c r="N115" s="1">
        <v>18.43</v>
      </c>
      <c r="O115" s="1" t="s">
        <v>173</v>
      </c>
    </row>
    <row r="116" spans="1:26" x14ac:dyDescent="0.55000000000000004">
      <c r="B116" s="1" t="s">
        <v>174</v>
      </c>
      <c r="C116" s="1" t="s">
        <v>175</v>
      </c>
      <c r="D116" s="1" t="s">
        <v>95</v>
      </c>
      <c r="E116" s="44">
        <v>23486</v>
      </c>
      <c r="F116" s="1" t="str">
        <f>VLOOKUP(YEAR(E116),Gen!$F$3:$G$9,2)</f>
        <v>Biby Boomer</v>
      </c>
      <c r="G116" s="1" t="str">
        <f t="shared" si="33"/>
        <v>Biby Boomer</v>
      </c>
      <c r="H116" s="1" t="s">
        <v>106</v>
      </c>
      <c r="I116" s="1" t="s">
        <v>98</v>
      </c>
      <c r="J116" s="7">
        <v>23500</v>
      </c>
      <c r="K116" s="43">
        <v>39187</v>
      </c>
      <c r="L116" s="44">
        <v>39367</v>
      </c>
      <c r="M116" s="1" t="s">
        <v>91</v>
      </c>
      <c r="N116" s="1">
        <v>18.54</v>
      </c>
      <c r="O116" s="1" t="s">
        <v>176</v>
      </c>
    </row>
    <row r="117" spans="1:26" x14ac:dyDescent="0.55000000000000004">
      <c r="B117" s="1" t="s">
        <v>177</v>
      </c>
      <c r="C117" s="1" t="s">
        <v>178</v>
      </c>
      <c r="D117" s="1" t="s">
        <v>88</v>
      </c>
      <c r="E117" s="44">
        <v>27259</v>
      </c>
      <c r="F117" s="1" t="str">
        <f>VLOOKUP(YEAR(E117),Gen!$F$3:$G$9,2)</f>
        <v>Gen X</v>
      </c>
      <c r="G117" s="1" t="str">
        <f t="shared" si="33"/>
        <v>Gen X</v>
      </c>
      <c r="H117" s="1" t="s">
        <v>138</v>
      </c>
      <c r="I117" s="1" t="s">
        <v>98</v>
      </c>
      <c r="J117" s="7">
        <v>15000</v>
      </c>
      <c r="K117" s="43">
        <v>35654</v>
      </c>
      <c r="L117" s="44">
        <v>35834</v>
      </c>
      <c r="M117" s="1" t="s">
        <v>91</v>
      </c>
      <c r="N117" s="1">
        <v>28.22</v>
      </c>
      <c r="O117" s="1" t="s">
        <v>179</v>
      </c>
    </row>
    <row r="118" spans="1:26" x14ac:dyDescent="0.55000000000000004">
      <c r="B118" s="1" t="s">
        <v>180</v>
      </c>
      <c r="C118" s="1" t="s">
        <v>181</v>
      </c>
      <c r="D118" s="1" t="s">
        <v>88</v>
      </c>
      <c r="E118" s="44">
        <v>34571</v>
      </c>
      <c r="F118" s="1" t="str">
        <f>VLOOKUP(YEAR(E118),Gen!$F$3:$G$9,2)</f>
        <v>Gen Y</v>
      </c>
      <c r="G118" s="1" t="str">
        <f t="shared" si="33"/>
        <v>Gen Y</v>
      </c>
      <c r="H118" s="1" t="s">
        <v>97</v>
      </c>
      <c r="I118" s="1" t="s">
        <v>122</v>
      </c>
      <c r="J118" s="7">
        <v>10000</v>
      </c>
      <c r="K118" s="43">
        <v>41870</v>
      </c>
      <c r="L118" s="44">
        <v>42050</v>
      </c>
      <c r="M118" s="1" t="s">
        <v>91</v>
      </c>
      <c r="N118" s="1">
        <v>11.2</v>
      </c>
      <c r="O118" s="1" t="s">
        <v>182</v>
      </c>
    </row>
    <row r="119" spans="1:26" x14ac:dyDescent="0.55000000000000004">
      <c r="B119" s="1" t="s">
        <v>183</v>
      </c>
      <c r="C119" s="1" t="s">
        <v>184</v>
      </c>
      <c r="D119" s="1" t="s">
        <v>88</v>
      </c>
      <c r="E119" s="44">
        <v>27726</v>
      </c>
      <c r="F119" s="1" t="str">
        <f>VLOOKUP(YEAR(E119),Gen!$F$3:$G$9,2)</f>
        <v>Gen X</v>
      </c>
      <c r="G119" s="1" t="str">
        <f t="shared" si="33"/>
        <v>Gen X</v>
      </c>
      <c r="H119" s="1" t="s">
        <v>97</v>
      </c>
      <c r="I119" s="1" t="s">
        <v>90</v>
      </c>
      <c r="J119" s="7">
        <v>72000</v>
      </c>
      <c r="K119" s="43">
        <v>38124</v>
      </c>
      <c r="L119" s="44">
        <v>38304</v>
      </c>
      <c r="M119" s="1" t="s">
        <v>91</v>
      </c>
      <c r="N119" s="1">
        <v>21.46</v>
      </c>
      <c r="O119" s="1" t="s">
        <v>185</v>
      </c>
    </row>
    <row r="120" spans="1:26" x14ac:dyDescent="0.55000000000000004">
      <c r="B120" s="1" t="s">
        <v>186</v>
      </c>
      <c r="C120" s="1" t="s">
        <v>187</v>
      </c>
      <c r="D120" s="1" t="s">
        <v>95</v>
      </c>
      <c r="E120" s="44">
        <v>29300</v>
      </c>
      <c r="F120" s="1" t="str">
        <f>VLOOKUP(YEAR(E120),Gen!$F$3:$G$9,2)</f>
        <v>Gen Y</v>
      </c>
      <c r="G120" s="1" t="str">
        <f t="shared" si="33"/>
        <v>Gen Y</v>
      </c>
      <c r="H120" s="1" t="s">
        <v>106</v>
      </c>
      <c r="I120" s="1" t="s">
        <v>107</v>
      </c>
      <c r="J120" s="7">
        <v>26000</v>
      </c>
      <c r="K120" s="43">
        <v>38060</v>
      </c>
      <c r="L120" s="44">
        <v>38240</v>
      </c>
      <c r="M120" s="1" t="s">
        <v>91</v>
      </c>
      <c r="N120" s="1">
        <v>21.63</v>
      </c>
      <c r="O120" s="1" t="s">
        <v>188</v>
      </c>
    </row>
    <row r="121" spans="1:26" x14ac:dyDescent="0.55000000000000004">
      <c r="B121" s="1" t="s">
        <v>189</v>
      </c>
      <c r="C121" s="1" t="s">
        <v>190</v>
      </c>
      <c r="D121" s="1" t="s">
        <v>88</v>
      </c>
      <c r="E121" s="44">
        <v>35926</v>
      </c>
      <c r="F121" s="1" t="str">
        <f>VLOOKUP(YEAR(E121),Gen!$F$3:$G$9,2)</f>
        <v>Gen Z</v>
      </c>
      <c r="G121" s="1" t="str">
        <f t="shared" si="33"/>
        <v>Gen Z</v>
      </c>
      <c r="H121" s="1" t="s">
        <v>106</v>
      </c>
      <c r="I121" s="1" t="s">
        <v>107</v>
      </c>
      <c r="J121" s="7">
        <v>18500</v>
      </c>
      <c r="K121" s="43">
        <v>42803</v>
      </c>
      <c r="L121" s="44">
        <v>42983</v>
      </c>
      <c r="M121" s="1" t="s">
        <v>91</v>
      </c>
      <c r="N121" s="1">
        <v>8.64</v>
      </c>
      <c r="O121" s="1" t="s">
        <v>191</v>
      </c>
    </row>
    <row r="122" spans="1:26" x14ac:dyDescent="0.55000000000000004">
      <c r="B122" s="1" t="s">
        <v>192</v>
      </c>
      <c r="C122" s="1" t="s">
        <v>193</v>
      </c>
      <c r="D122" s="1" t="s">
        <v>95</v>
      </c>
      <c r="E122" s="44">
        <v>23519</v>
      </c>
      <c r="F122" s="1" t="str">
        <f>VLOOKUP(YEAR(E122),Gen!$F$3:$G$9,2)</f>
        <v>Biby Boomer</v>
      </c>
      <c r="G122" s="1" t="str">
        <f t="shared" si="33"/>
        <v>Biby Boomer</v>
      </c>
      <c r="H122" s="1" t="s">
        <v>97</v>
      </c>
      <c r="I122" s="1" t="s">
        <v>107</v>
      </c>
      <c r="J122" s="7">
        <v>40000</v>
      </c>
      <c r="K122" s="43">
        <v>31184</v>
      </c>
      <c r="L122" s="44">
        <v>31364</v>
      </c>
      <c r="M122" s="1" t="s">
        <v>91</v>
      </c>
      <c r="N122" s="1">
        <v>40.46</v>
      </c>
      <c r="O122" s="1" t="s">
        <v>194</v>
      </c>
    </row>
    <row r="124" spans="1:26" x14ac:dyDescent="0.55000000000000004">
      <c r="A124" s="13">
        <v>244299</v>
      </c>
      <c r="B124" s="50" t="s">
        <v>222</v>
      </c>
      <c r="C124" s="51" t="s">
        <v>225</v>
      </c>
      <c r="D124" s="51"/>
    </row>
    <row r="125" spans="1:26" x14ac:dyDescent="0.55000000000000004">
      <c r="C125" s="51" t="s">
        <v>226</v>
      </c>
      <c r="D125" s="51"/>
      <c r="E125" s="51"/>
      <c r="S125" s="51" t="s">
        <v>228</v>
      </c>
    </row>
    <row r="126" spans="1:26" x14ac:dyDescent="0.55000000000000004">
      <c r="B126" s="52" t="s">
        <v>72</v>
      </c>
      <c r="C126" s="52" t="s">
        <v>73</v>
      </c>
      <c r="D126" s="52" t="s">
        <v>74</v>
      </c>
      <c r="E126" s="26" t="s">
        <v>75</v>
      </c>
      <c r="F126" s="26" t="s">
        <v>222</v>
      </c>
      <c r="G126" s="26" t="s">
        <v>223</v>
      </c>
      <c r="H126" s="26" t="s">
        <v>81</v>
      </c>
      <c r="I126" s="26" t="s">
        <v>224</v>
      </c>
      <c r="J126" s="52" t="s">
        <v>78</v>
      </c>
      <c r="K126" s="52" t="s">
        <v>79</v>
      </c>
      <c r="L126" s="52" t="s">
        <v>80</v>
      </c>
      <c r="M126" s="52" t="s">
        <v>81</v>
      </c>
      <c r="N126" s="52" t="s">
        <v>82</v>
      </c>
      <c r="O126" s="52" t="s">
        <v>83</v>
      </c>
      <c r="P126" s="52" t="s">
        <v>85</v>
      </c>
      <c r="S126" s="45" t="s">
        <v>227</v>
      </c>
      <c r="T126"/>
      <c r="U126" s="45" t="s">
        <v>74</v>
      </c>
      <c r="V126"/>
      <c r="W126"/>
      <c r="X126"/>
      <c r="Y126"/>
      <c r="Z126"/>
    </row>
    <row r="127" spans="1:26" x14ac:dyDescent="0.55000000000000004">
      <c r="B127" s="1" t="s">
        <v>86</v>
      </c>
      <c r="C127" s="1" t="s">
        <v>87</v>
      </c>
      <c r="D127" s="1" t="s">
        <v>88</v>
      </c>
      <c r="E127" s="59">
        <v>34398</v>
      </c>
      <c r="F127" s="60">
        <f ca="1">YEARFRAC(E127,TODAY())</f>
        <v>31.969444444444445</v>
      </c>
      <c r="G127" s="61" t="str">
        <f ca="1">DATEDIF(E127,TODAY(),"y")&amp;"ปี "&amp;DATEDIF(E127,TODAY(),"ym")&amp;" เดือน "&amp;DATEDIF(E127,TODAY(),"md")&amp;"วัน"</f>
        <v>31ปี 11 เดือน 19วัน</v>
      </c>
      <c r="H127" s="62">
        <v>42428</v>
      </c>
      <c r="I127" s="60">
        <f ca="1">YEARFRAC(H127,TODAY())</f>
        <v>9.9888888888888889</v>
      </c>
      <c r="J127" s="1" t="s">
        <v>89</v>
      </c>
      <c r="K127" s="1" t="s">
        <v>90</v>
      </c>
      <c r="L127" s="65">
        <v>13000</v>
      </c>
      <c r="M127" s="43">
        <v>42428</v>
      </c>
      <c r="N127" s="44">
        <v>42608</v>
      </c>
      <c r="O127" s="1" t="s">
        <v>91</v>
      </c>
      <c r="P127" s="1" t="s">
        <v>92</v>
      </c>
      <c r="S127" s="45" t="s">
        <v>79</v>
      </c>
      <c r="T127" s="45" t="s">
        <v>78</v>
      </c>
      <c r="U127" t="s">
        <v>95</v>
      </c>
      <c r="V127" t="s">
        <v>88</v>
      </c>
      <c r="W127" t="s">
        <v>203</v>
      </c>
      <c r="X127"/>
      <c r="Y127"/>
      <c r="Z127"/>
    </row>
    <row r="128" spans="1:26" x14ac:dyDescent="0.55000000000000004">
      <c r="B128" s="1" t="s">
        <v>93</v>
      </c>
      <c r="C128" s="1" t="s">
        <v>94</v>
      </c>
      <c r="D128" s="1" t="s">
        <v>95</v>
      </c>
      <c r="E128" s="59">
        <v>25178</v>
      </c>
      <c r="F128" s="60">
        <f t="shared" ref="F128:F157" ca="1" si="34">YEARFRAC(E128,TODAY())</f>
        <v>57.216666666666669</v>
      </c>
      <c r="G128" s="61" t="str">
        <f t="shared" ref="G128:G157" ca="1" si="35">DATEDIF(E128,TODAY(),"y")&amp;"ปี "&amp;DATEDIF(E128,TODAY(),"ym")&amp;" เดือน "&amp;DATEDIF(E128,TODAY(),"md")&amp;"วัน"</f>
        <v>57ปี 2 เดือน 18วัน</v>
      </c>
      <c r="H128" s="62">
        <v>32111</v>
      </c>
      <c r="I128" s="60">
        <f t="shared" ref="I128:I157" ca="1" si="36">YEARFRAC(H128,TODAY())</f>
        <v>38.233333333333334</v>
      </c>
      <c r="J128" s="1" t="s">
        <v>97</v>
      </c>
      <c r="K128" s="1" t="s">
        <v>98</v>
      </c>
      <c r="L128" s="65">
        <v>13000</v>
      </c>
      <c r="M128" s="43">
        <v>32111</v>
      </c>
      <c r="N128" s="44">
        <v>32291</v>
      </c>
      <c r="O128" s="1" t="s">
        <v>91</v>
      </c>
      <c r="P128" s="1" t="s">
        <v>99</v>
      </c>
      <c r="S128" t="s">
        <v>122</v>
      </c>
      <c r="T128"/>
      <c r="U128">
        <v>4</v>
      </c>
      <c r="V128">
        <v>1</v>
      </c>
      <c r="W128">
        <v>5</v>
      </c>
      <c r="X128"/>
      <c r="Y128"/>
      <c r="Z128"/>
    </row>
    <row r="129" spans="2:26" x14ac:dyDescent="0.55000000000000004">
      <c r="B129" s="1" t="s">
        <v>100</v>
      </c>
      <c r="C129" s="1" t="s">
        <v>101</v>
      </c>
      <c r="D129" s="1" t="s">
        <v>95</v>
      </c>
      <c r="E129" s="59">
        <v>31929</v>
      </c>
      <c r="F129" s="60">
        <f t="shared" ca="1" si="34"/>
        <v>38.730555555555554</v>
      </c>
      <c r="G129" s="61" t="str">
        <f t="shared" ca="1" si="35"/>
        <v>38ปี 8 เดือน 23วัน</v>
      </c>
      <c r="H129" s="62">
        <v>39959</v>
      </c>
      <c r="I129" s="60">
        <f t="shared" ca="1" si="36"/>
        <v>16.744444444444444</v>
      </c>
      <c r="J129" s="1" t="s">
        <v>97</v>
      </c>
      <c r="K129" s="1" t="s">
        <v>98</v>
      </c>
      <c r="L129" s="65">
        <v>13000</v>
      </c>
      <c r="M129" s="43">
        <v>39959</v>
      </c>
      <c r="N129" s="44">
        <v>40139</v>
      </c>
      <c r="O129" s="1" t="s">
        <v>91</v>
      </c>
      <c r="P129" s="1" t="s">
        <v>103</v>
      </c>
      <c r="S129"/>
      <c r="T129" t="s">
        <v>89</v>
      </c>
      <c r="U129">
        <v>1</v>
      </c>
      <c r="V129"/>
      <c r="W129">
        <v>1</v>
      </c>
      <c r="X129"/>
      <c r="Y129"/>
      <c r="Z129"/>
    </row>
    <row r="130" spans="2:26" x14ac:dyDescent="0.55000000000000004">
      <c r="B130" s="1" t="s">
        <v>104</v>
      </c>
      <c r="C130" s="1" t="s">
        <v>105</v>
      </c>
      <c r="D130" s="1" t="s">
        <v>88</v>
      </c>
      <c r="E130" s="59">
        <v>33446</v>
      </c>
      <c r="F130" s="60">
        <f t="shared" ca="1" si="34"/>
        <v>34.575000000000003</v>
      </c>
      <c r="G130" s="61" t="str">
        <f t="shared" ca="1" si="35"/>
        <v>34ปี 6 เดือน 28วัน</v>
      </c>
      <c r="H130" s="62">
        <v>42206</v>
      </c>
      <c r="I130" s="60">
        <f t="shared" ca="1" si="36"/>
        <v>10.591666666666667</v>
      </c>
      <c r="J130" s="1" t="s">
        <v>106</v>
      </c>
      <c r="K130" s="1" t="s">
        <v>107</v>
      </c>
      <c r="L130" s="65">
        <v>13000</v>
      </c>
      <c r="M130" s="43">
        <v>42206</v>
      </c>
      <c r="N130" s="44">
        <v>42386</v>
      </c>
      <c r="O130" s="1" t="s">
        <v>91</v>
      </c>
      <c r="P130" s="1" t="s">
        <v>108</v>
      </c>
      <c r="S130"/>
      <c r="T130" t="s">
        <v>97</v>
      </c>
      <c r="U130">
        <v>2</v>
      </c>
      <c r="V130">
        <v>1</v>
      </c>
      <c r="W130">
        <v>3</v>
      </c>
      <c r="X130"/>
      <c r="Y130"/>
      <c r="Z130"/>
    </row>
    <row r="131" spans="2:26" x14ac:dyDescent="0.55000000000000004">
      <c r="B131" s="1" t="s">
        <v>109</v>
      </c>
      <c r="C131" s="1" t="s">
        <v>110</v>
      </c>
      <c r="D131" s="1" t="s">
        <v>95</v>
      </c>
      <c r="E131" s="59">
        <v>27262</v>
      </c>
      <c r="F131" s="60">
        <f t="shared" ca="1" si="34"/>
        <v>51.508333333333333</v>
      </c>
      <c r="G131" s="61" t="str">
        <f t="shared" ca="1" si="35"/>
        <v>51ปี 6 เดือน 3วัน</v>
      </c>
      <c r="H131" s="62">
        <v>39343</v>
      </c>
      <c r="I131" s="60">
        <f t="shared" ca="1" si="36"/>
        <v>18.433333333333334</v>
      </c>
      <c r="J131" s="1" t="s">
        <v>111</v>
      </c>
      <c r="K131" s="1" t="s">
        <v>107</v>
      </c>
      <c r="L131" s="65">
        <v>13000</v>
      </c>
      <c r="M131" s="43">
        <v>39343</v>
      </c>
      <c r="N131" s="44">
        <v>39523</v>
      </c>
      <c r="O131" s="1" t="s">
        <v>91</v>
      </c>
      <c r="P131" s="1" t="s">
        <v>112</v>
      </c>
      <c r="S131"/>
      <c r="T131" t="s">
        <v>121</v>
      </c>
      <c r="U131">
        <v>1</v>
      </c>
      <c r="V131"/>
      <c r="W131">
        <v>1</v>
      </c>
      <c r="X131"/>
      <c r="Y131"/>
      <c r="Z131"/>
    </row>
    <row r="132" spans="2:26" x14ac:dyDescent="0.55000000000000004">
      <c r="B132" s="1" t="s">
        <v>113</v>
      </c>
      <c r="C132" s="1" t="s">
        <v>114</v>
      </c>
      <c r="D132" s="1" t="s">
        <v>95</v>
      </c>
      <c r="E132" s="59">
        <v>27621</v>
      </c>
      <c r="F132" s="60">
        <f t="shared" ca="1" si="34"/>
        <v>50.524999999999999</v>
      </c>
      <c r="G132" s="61" t="str">
        <f t="shared" ca="1" si="35"/>
        <v>50ปี 6 เดือน 9วัน</v>
      </c>
      <c r="H132" s="62">
        <v>35286</v>
      </c>
      <c r="I132" s="60">
        <f t="shared" ca="1" si="36"/>
        <v>29.541666666666668</v>
      </c>
      <c r="J132" s="1" t="s">
        <v>106</v>
      </c>
      <c r="K132" s="1" t="s">
        <v>90</v>
      </c>
      <c r="L132" s="65">
        <v>13000</v>
      </c>
      <c r="M132" s="43">
        <v>35286</v>
      </c>
      <c r="N132" s="44">
        <v>35466</v>
      </c>
      <c r="O132" s="1" t="s">
        <v>91</v>
      </c>
      <c r="P132" s="1" t="s">
        <v>115</v>
      </c>
      <c r="S132" t="s">
        <v>98</v>
      </c>
      <c r="T132"/>
      <c r="U132">
        <v>5</v>
      </c>
      <c r="V132">
        <v>3</v>
      </c>
      <c r="W132">
        <v>8</v>
      </c>
      <c r="X132"/>
      <c r="Y132"/>
      <c r="Z132"/>
    </row>
    <row r="133" spans="2:26" x14ac:dyDescent="0.55000000000000004">
      <c r="B133" s="1" t="s">
        <v>116</v>
      </c>
      <c r="C133" s="1" t="s">
        <v>117</v>
      </c>
      <c r="D133" s="1" t="s">
        <v>88</v>
      </c>
      <c r="E133" s="59">
        <v>23323</v>
      </c>
      <c r="F133" s="60">
        <f t="shared" ca="1" si="34"/>
        <v>62.294444444444444</v>
      </c>
      <c r="G133" s="61" t="str">
        <f t="shared" ca="1" si="35"/>
        <v>62ปี 3 เดือน 16วัน</v>
      </c>
      <c r="H133" s="62">
        <v>30988</v>
      </c>
      <c r="I133" s="60">
        <f t="shared" ca="1" si="36"/>
        <v>41.31111111111111</v>
      </c>
      <c r="J133" s="1" t="s">
        <v>106</v>
      </c>
      <c r="K133" s="1" t="s">
        <v>98</v>
      </c>
      <c r="L133" s="65">
        <v>13000</v>
      </c>
      <c r="M133" s="43">
        <v>30988</v>
      </c>
      <c r="N133" s="44">
        <v>31168</v>
      </c>
      <c r="O133" s="1" t="s">
        <v>91</v>
      </c>
      <c r="P133" s="1" t="s">
        <v>118</v>
      </c>
      <c r="S133"/>
      <c r="T133" t="s">
        <v>138</v>
      </c>
      <c r="U133"/>
      <c r="V133">
        <v>2</v>
      </c>
      <c r="W133">
        <v>2</v>
      </c>
      <c r="X133"/>
      <c r="Y133"/>
      <c r="Z133"/>
    </row>
    <row r="134" spans="2:26" x14ac:dyDescent="0.55000000000000004">
      <c r="B134" s="1" t="s">
        <v>119</v>
      </c>
      <c r="C134" s="1" t="s">
        <v>120</v>
      </c>
      <c r="D134" s="1" t="s">
        <v>95</v>
      </c>
      <c r="E134" s="59">
        <v>30484</v>
      </c>
      <c r="F134" s="60">
        <f t="shared" ca="1" si="34"/>
        <v>42.68611111111111</v>
      </c>
      <c r="G134" s="61" t="str">
        <f t="shared" ca="1" si="35"/>
        <v>42ปี 8 เดือน 7วัน</v>
      </c>
      <c r="H134" s="62">
        <v>42805</v>
      </c>
      <c r="I134" s="60">
        <f t="shared" ca="1" si="36"/>
        <v>8.9527777777777775</v>
      </c>
      <c r="J134" s="1" t="s">
        <v>121</v>
      </c>
      <c r="K134" s="1" t="s">
        <v>122</v>
      </c>
      <c r="L134" s="65">
        <v>13000</v>
      </c>
      <c r="M134" s="43">
        <v>42805</v>
      </c>
      <c r="N134" s="44">
        <v>42985</v>
      </c>
      <c r="O134" s="1" t="s">
        <v>91</v>
      </c>
      <c r="P134" s="1" t="s">
        <v>123</v>
      </c>
      <c r="S134"/>
      <c r="T134" t="s">
        <v>89</v>
      </c>
      <c r="U134">
        <v>1</v>
      </c>
      <c r="V134"/>
      <c r="W134">
        <v>1</v>
      </c>
      <c r="X134"/>
      <c r="Y134"/>
      <c r="Z134"/>
    </row>
    <row r="135" spans="2:26" x14ac:dyDescent="0.55000000000000004">
      <c r="B135" s="1" t="s">
        <v>124</v>
      </c>
      <c r="C135" s="1" t="s">
        <v>125</v>
      </c>
      <c r="D135" s="1" t="s">
        <v>95</v>
      </c>
      <c r="E135" s="59">
        <v>31819</v>
      </c>
      <c r="F135" s="60">
        <f t="shared" ca="1" si="34"/>
        <v>39.036111111111111</v>
      </c>
      <c r="G135" s="61" t="str">
        <f t="shared" ca="1" si="35"/>
        <v>39ปี 0 เดือน 13วัน</v>
      </c>
      <c r="H135" s="62">
        <v>40944</v>
      </c>
      <c r="I135" s="60">
        <f t="shared" ca="1" si="36"/>
        <v>14.052777777777777</v>
      </c>
      <c r="J135" s="1" t="s">
        <v>89</v>
      </c>
      <c r="K135" s="1" t="s">
        <v>107</v>
      </c>
      <c r="L135" s="65">
        <v>13000</v>
      </c>
      <c r="M135" s="43">
        <v>40944</v>
      </c>
      <c r="N135" s="44">
        <v>41124</v>
      </c>
      <c r="O135" s="1" t="s">
        <v>91</v>
      </c>
      <c r="P135" s="1" t="s">
        <v>126</v>
      </c>
      <c r="S135"/>
      <c r="T135" t="s">
        <v>97</v>
      </c>
      <c r="U135">
        <v>2</v>
      </c>
      <c r="V135"/>
      <c r="W135">
        <v>2</v>
      </c>
      <c r="X135"/>
      <c r="Y135"/>
      <c r="Z135"/>
    </row>
    <row r="136" spans="2:26" x14ac:dyDescent="0.55000000000000004">
      <c r="B136" s="1" t="s">
        <v>127</v>
      </c>
      <c r="C136" s="1" t="s">
        <v>128</v>
      </c>
      <c r="D136" s="1" t="s">
        <v>95</v>
      </c>
      <c r="E136" s="59">
        <v>22739</v>
      </c>
      <c r="F136" s="60">
        <f t="shared" ca="1" si="34"/>
        <v>63.891666666666666</v>
      </c>
      <c r="G136" s="61" t="str">
        <f t="shared" ca="1" si="35"/>
        <v>63ปี 10 เดือน 21วัน</v>
      </c>
      <c r="H136" s="62">
        <v>42822</v>
      </c>
      <c r="I136" s="60">
        <f t="shared" ca="1" si="36"/>
        <v>8.905555555555555</v>
      </c>
      <c r="J136" s="1" t="s">
        <v>106</v>
      </c>
      <c r="K136" s="1" t="s">
        <v>90</v>
      </c>
      <c r="L136" s="65">
        <v>13000</v>
      </c>
      <c r="M136" s="43">
        <v>42822</v>
      </c>
      <c r="N136" s="44">
        <v>43002</v>
      </c>
      <c r="O136" s="1" t="s">
        <v>91</v>
      </c>
      <c r="P136" s="1" t="s">
        <v>129</v>
      </c>
      <c r="S136"/>
      <c r="T136" t="s">
        <v>106</v>
      </c>
      <c r="U136">
        <v>1</v>
      </c>
      <c r="V136">
        <v>1</v>
      </c>
      <c r="W136">
        <v>2</v>
      </c>
      <c r="X136"/>
      <c r="Y136"/>
      <c r="Z136"/>
    </row>
    <row r="137" spans="2:26" x14ac:dyDescent="0.55000000000000004">
      <c r="B137" s="1" t="s">
        <v>130</v>
      </c>
      <c r="C137" s="1" t="s">
        <v>131</v>
      </c>
      <c r="D137" s="1" t="s">
        <v>95</v>
      </c>
      <c r="E137" s="59">
        <v>26416</v>
      </c>
      <c r="F137" s="60">
        <f t="shared" ca="1" si="34"/>
        <v>53.825000000000003</v>
      </c>
      <c r="G137" s="61" t="str">
        <f t="shared" ca="1" si="35"/>
        <v>53ปี 9 เดือน 28วัน</v>
      </c>
      <c r="H137" s="62">
        <v>37193</v>
      </c>
      <c r="I137" s="60">
        <f t="shared" ca="1" si="36"/>
        <v>24.319444444444443</v>
      </c>
      <c r="J137" s="1" t="s">
        <v>89</v>
      </c>
      <c r="K137" s="1" t="s">
        <v>107</v>
      </c>
      <c r="L137" s="65">
        <v>13000</v>
      </c>
      <c r="M137" s="43">
        <v>37193</v>
      </c>
      <c r="N137" s="44">
        <v>37373</v>
      </c>
      <c r="O137" s="1" t="s">
        <v>91</v>
      </c>
      <c r="P137" s="1" t="s">
        <v>132</v>
      </c>
      <c r="S137"/>
      <c r="T137" t="s">
        <v>111</v>
      </c>
      <c r="U137">
        <v>1</v>
      </c>
      <c r="V137"/>
      <c r="W137">
        <v>1</v>
      </c>
      <c r="X137"/>
      <c r="Y137"/>
      <c r="Z137"/>
    </row>
    <row r="138" spans="2:26" x14ac:dyDescent="0.55000000000000004">
      <c r="B138" s="1" t="s">
        <v>133</v>
      </c>
      <c r="C138" s="1" t="s">
        <v>134</v>
      </c>
      <c r="D138" s="1" t="s">
        <v>88</v>
      </c>
      <c r="E138" s="59">
        <v>30449</v>
      </c>
      <c r="F138" s="60">
        <f t="shared" ca="1" si="34"/>
        <v>42.780555555555559</v>
      </c>
      <c r="G138" s="61" t="str">
        <f t="shared" ca="1" si="35"/>
        <v>42ปี 9 เดือน 11วัน</v>
      </c>
      <c r="H138" s="62">
        <v>38054</v>
      </c>
      <c r="I138" s="60">
        <f t="shared" ca="1" si="36"/>
        <v>21.961111111111112</v>
      </c>
      <c r="J138" s="1" t="s">
        <v>97</v>
      </c>
      <c r="K138" s="1" t="s">
        <v>107</v>
      </c>
      <c r="L138" s="65">
        <v>13000</v>
      </c>
      <c r="M138" s="43">
        <v>38054</v>
      </c>
      <c r="N138" s="44">
        <v>38234</v>
      </c>
      <c r="O138" s="1" t="s">
        <v>91</v>
      </c>
      <c r="P138" s="1" t="s">
        <v>135</v>
      </c>
      <c r="S138" t="s">
        <v>90</v>
      </c>
      <c r="T138"/>
      <c r="U138">
        <v>2</v>
      </c>
      <c r="V138">
        <v>4</v>
      </c>
      <c r="W138">
        <v>6</v>
      </c>
      <c r="X138"/>
      <c r="Y138"/>
      <c r="Z138"/>
    </row>
    <row r="139" spans="2:26" x14ac:dyDescent="0.55000000000000004">
      <c r="B139" s="1" t="s">
        <v>136</v>
      </c>
      <c r="C139" s="1" t="s">
        <v>137</v>
      </c>
      <c r="D139" s="1" t="s">
        <v>88</v>
      </c>
      <c r="E139" s="59">
        <v>26695</v>
      </c>
      <c r="F139" s="60">
        <f t="shared" ca="1" si="34"/>
        <v>53.06666666666667</v>
      </c>
      <c r="G139" s="61" t="str">
        <f t="shared" ca="1" si="35"/>
        <v>53ปี 0 เดือน 24วัน</v>
      </c>
      <c r="H139" s="62">
        <v>38459</v>
      </c>
      <c r="I139" s="60">
        <f t="shared" ca="1" si="36"/>
        <v>20.852777777777778</v>
      </c>
      <c r="J139" s="1" t="s">
        <v>138</v>
      </c>
      <c r="K139" s="1" t="s">
        <v>98</v>
      </c>
      <c r="L139" s="65">
        <v>13000</v>
      </c>
      <c r="M139" s="43">
        <v>38459</v>
      </c>
      <c r="N139" s="44">
        <v>38639</v>
      </c>
      <c r="O139" s="1" t="s">
        <v>91</v>
      </c>
      <c r="P139" s="1" t="s">
        <v>139</v>
      </c>
      <c r="S139"/>
      <c r="T139" t="s">
        <v>89</v>
      </c>
      <c r="U139"/>
      <c r="V139">
        <v>1</v>
      </c>
      <c r="W139">
        <v>1</v>
      </c>
      <c r="X139"/>
      <c r="Y139"/>
      <c r="Z139"/>
    </row>
    <row r="140" spans="2:26" x14ac:dyDescent="0.55000000000000004">
      <c r="B140" s="1" t="s">
        <v>140</v>
      </c>
      <c r="C140" s="1" t="s">
        <v>141</v>
      </c>
      <c r="D140" s="1" t="s">
        <v>88</v>
      </c>
      <c r="E140" s="59">
        <v>33768</v>
      </c>
      <c r="F140" s="60">
        <f t="shared" ca="1" si="34"/>
        <v>33.697222222222223</v>
      </c>
      <c r="G140" s="61" t="str">
        <f t="shared" ca="1" si="35"/>
        <v>33ปี 8 เดือน 11วัน</v>
      </c>
      <c r="H140" s="62">
        <v>42740</v>
      </c>
      <c r="I140" s="60">
        <f t="shared" ca="1" si="36"/>
        <v>9.1361111111111111</v>
      </c>
      <c r="J140" s="1" t="s">
        <v>111</v>
      </c>
      <c r="K140" s="1" t="s">
        <v>107</v>
      </c>
      <c r="L140" s="65">
        <v>13000</v>
      </c>
      <c r="M140" s="43">
        <v>42740</v>
      </c>
      <c r="N140" s="44">
        <v>42920</v>
      </c>
      <c r="O140" s="1" t="s">
        <v>91</v>
      </c>
      <c r="P140" s="1" t="s">
        <v>142</v>
      </c>
      <c r="S140"/>
      <c r="T140" t="s">
        <v>97</v>
      </c>
      <c r="U140"/>
      <c r="V140">
        <v>2</v>
      </c>
      <c r="W140">
        <v>2</v>
      </c>
      <c r="X140"/>
      <c r="Y140"/>
      <c r="Z140"/>
    </row>
    <row r="141" spans="2:26" x14ac:dyDescent="0.55000000000000004">
      <c r="B141" s="1" t="s">
        <v>143</v>
      </c>
      <c r="C141" s="1" t="s">
        <v>144</v>
      </c>
      <c r="D141" s="1" t="s">
        <v>95</v>
      </c>
      <c r="E141" s="59">
        <v>24970</v>
      </c>
      <c r="F141" s="60">
        <f t="shared" ca="1" si="34"/>
        <v>57.783333333333331</v>
      </c>
      <c r="G141" s="61" t="str">
        <f t="shared" ca="1" si="35"/>
        <v>57ปี 9 เดือน 12วัน</v>
      </c>
      <c r="H141" s="62">
        <v>38066</v>
      </c>
      <c r="I141" s="60">
        <f t="shared" ca="1" si="36"/>
        <v>21.927777777777777</v>
      </c>
      <c r="J141" s="1" t="s">
        <v>97</v>
      </c>
      <c r="K141" s="1" t="s">
        <v>122</v>
      </c>
      <c r="L141" s="65">
        <v>13000</v>
      </c>
      <c r="M141" s="43">
        <v>38066</v>
      </c>
      <c r="N141" s="44">
        <v>38246</v>
      </c>
      <c r="O141" s="1" t="s">
        <v>91</v>
      </c>
      <c r="P141" s="1" t="s">
        <v>145</v>
      </c>
      <c r="S141"/>
      <c r="T141" t="s">
        <v>121</v>
      </c>
      <c r="U141"/>
      <c r="V141">
        <v>1</v>
      </c>
      <c r="W141">
        <v>1</v>
      </c>
      <c r="X141"/>
      <c r="Y141"/>
      <c r="Z141"/>
    </row>
    <row r="142" spans="2:26" x14ac:dyDescent="0.55000000000000004">
      <c r="B142" s="1" t="s">
        <v>146</v>
      </c>
      <c r="C142" s="1" t="s">
        <v>147</v>
      </c>
      <c r="D142" s="1" t="s">
        <v>95</v>
      </c>
      <c r="E142" s="59">
        <v>22635</v>
      </c>
      <c r="F142" s="60">
        <f t="shared" ca="1" si="34"/>
        <v>64.177777777777777</v>
      </c>
      <c r="G142" s="61" t="str">
        <f t="shared" ca="1" si="35"/>
        <v>64ปี 2 เดือน 4วัน</v>
      </c>
      <c r="H142" s="62">
        <v>37891</v>
      </c>
      <c r="I142" s="60">
        <f t="shared" ca="1" si="36"/>
        <v>22.408333333333335</v>
      </c>
      <c r="J142" s="1" t="s">
        <v>97</v>
      </c>
      <c r="K142" s="1" t="s">
        <v>122</v>
      </c>
      <c r="L142" s="65">
        <v>13000</v>
      </c>
      <c r="M142" s="43">
        <v>37891</v>
      </c>
      <c r="N142" s="44">
        <v>38071</v>
      </c>
      <c r="O142" s="1" t="s">
        <v>91</v>
      </c>
      <c r="P142" s="1" t="s">
        <v>148</v>
      </c>
      <c r="S142"/>
      <c r="T142" t="s">
        <v>106</v>
      </c>
      <c r="U142">
        <v>2</v>
      </c>
      <c r="V142"/>
      <c r="W142">
        <v>2</v>
      </c>
      <c r="X142"/>
      <c r="Y142"/>
      <c r="Z142"/>
    </row>
    <row r="143" spans="2:26" x14ac:dyDescent="0.55000000000000004">
      <c r="B143" s="1" t="s">
        <v>149</v>
      </c>
      <c r="C143" s="1" t="s">
        <v>150</v>
      </c>
      <c r="D143" s="1" t="s">
        <v>88</v>
      </c>
      <c r="E143" s="59">
        <v>34200</v>
      </c>
      <c r="F143" s="60">
        <f t="shared" ca="1" si="34"/>
        <v>32.513888888888886</v>
      </c>
      <c r="G143" s="61" t="str">
        <f t="shared" ca="1" si="35"/>
        <v>32ปี 6 เดือน 5วัน</v>
      </c>
      <c r="H143" s="62">
        <v>42229</v>
      </c>
      <c r="I143" s="60">
        <f t="shared" ca="1" si="36"/>
        <v>10.530555555555555</v>
      </c>
      <c r="J143" s="1" t="s">
        <v>106</v>
      </c>
      <c r="K143" s="1" t="s">
        <v>107</v>
      </c>
      <c r="L143" s="65">
        <v>13000</v>
      </c>
      <c r="M143" s="43">
        <v>42229</v>
      </c>
      <c r="N143" s="44">
        <v>42409</v>
      </c>
      <c r="O143" s="1" t="s">
        <v>91</v>
      </c>
      <c r="P143" s="1" t="s">
        <v>151</v>
      </c>
      <c r="S143" t="s">
        <v>160</v>
      </c>
      <c r="T143"/>
      <c r="U143">
        <v>1</v>
      </c>
      <c r="V143"/>
      <c r="W143">
        <v>1</v>
      </c>
      <c r="X143"/>
      <c r="Y143"/>
      <c r="Z143"/>
    </row>
    <row r="144" spans="2:26" x14ac:dyDescent="0.55000000000000004">
      <c r="B144" s="1" t="s">
        <v>152</v>
      </c>
      <c r="C144" s="1" t="s">
        <v>153</v>
      </c>
      <c r="D144" s="1" t="s">
        <v>88</v>
      </c>
      <c r="E144" s="59">
        <v>23488</v>
      </c>
      <c r="F144" s="60">
        <f t="shared" ca="1" si="34"/>
        <v>61.841666666666669</v>
      </c>
      <c r="G144" s="61" t="str">
        <f t="shared" ca="1" si="35"/>
        <v>61ปี 10 เดือน 3วัน</v>
      </c>
      <c r="H144" s="62">
        <v>31153</v>
      </c>
      <c r="I144" s="60">
        <f t="shared" ca="1" si="36"/>
        <v>40.855555555555554</v>
      </c>
      <c r="J144" s="1" t="s">
        <v>97</v>
      </c>
      <c r="K144" s="1" t="s">
        <v>90</v>
      </c>
      <c r="L144" s="65">
        <v>13000</v>
      </c>
      <c r="M144" s="43">
        <v>31153</v>
      </c>
      <c r="N144" s="44">
        <v>31333</v>
      </c>
      <c r="O144" s="1" t="s">
        <v>91</v>
      </c>
      <c r="P144" s="1" t="s">
        <v>154</v>
      </c>
      <c r="S144"/>
      <c r="T144" t="s">
        <v>106</v>
      </c>
      <c r="U144">
        <v>1</v>
      </c>
      <c r="V144"/>
      <c r="W144">
        <v>1</v>
      </c>
      <c r="X144"/>
      <c r="Y144"/>
      <c r="Z144"/>
    </row>
    <row r="145" spans="1:26" x14ac:dyDescent="0.55000000000000004">
      <c r="B145" s="1" t="s">
        <v>155</v>
      </c>
      <c r="C145" s="1" t="s">
        <v>156</v>
      </c>
      <c r="D145" s="1" t="s">
        <v>95</v>
      </c>
      <c r="E145" s="59">
        <v>23212</v>
      </c>
      <c r="F145" s="60">
        <f t="shared" ca="1" si="34"/>
        <v>62.594444444444441</v>
      </c>
      <c r="G145" s="61" t="str">
        <f t="shared" ca="1" si="35"/>
        <v>62ปี 7 เดือน 4วัน</v>
      </c>
      <c r="H145" s="62">
        <v>31972</v>
      </c>
      <c r="I145" s="60">
        <f t="shared" ca="1" si="36"/>
        <v>38.611111111111114</v>
      </c>
      <c r="J145" s="1" t="s">
        <v>97</v>
      </c>
      <c r="K145" s="1" t="s">
        <v>107</v>
      </c>
      <c r="L145" s="65">
        <v>13000</v>
      </c>
      <c r="M145" s="43">
        <v>31972</v>
      </c>
      <c r="N145" s="44">
        <v>32152</v>
      </c>
      <c r="O145" s="1" t="s">
        <v>91</v>
      </c>
      <c r="P145" s="1" t="s">
        <v>157</v>
      </c>
      <c r="S145" t="s">
        <v>107</v>
      </c>
      <c r="T145"/>
      <c r="U145">
        <v>6</v>
      </c>
      <c r="V145">
        <v>5</v>
      </c>
      <c r="W145">
        <v>11</v>
      </c>
      <c r="X145"/>
      <c r="Z145"/>
    </row>
    <row r="146" spans="1:26" x14ac:dyDescent="0.55000000000000004">
      <c r="B146" s="1" t="s">
        <v>158</v>
      </c>
      <c r="C146" s="1" t="s">
        <v>159</v>
      </c>
      <c r="D146" s="1" t="s">
        <v>95</v>
      </c>
      <c r="E146" s="59">
        <v>36438</v>
      </c>
      <c r="F146" s="60">
        <f t="shared" ca="1" si="34"/>
        <v>26.386111111111113</v>
      </c>
      <c r="G146" s="61" t="str">
        <f t="shared" ca="1" si="35"/>
        <v>26ปี 4 เดือน 19วัน</v>
      </c>
      <c r="H146" s="62">
        <v>39861</v>
      </c>
      <c r="I146" s="60">
        <f t="shared" ca="1" si="36"/>
        <v>17.019444444444446</v>
      </c>
      <c r="J146" s="1" t="s">
        <v>106</v>
      </c>
      <c r="K146" s="1" t="s">
        <v>160</v>
      </c>
      <c r="L146" s="65">
        <v>13000</v>
      </c>
      <c r="M146" s="43">
        <v>39861</v>
      </c>
      <c r="N146" s="44">
        <v>40041</v>
      </c>
      <c r="O146" s="1" t="s">
        <v>91</v>
      </c>
      <c r="P146" s="1" t="s">
        <v>161</v>
      </c>
      <c r="S146"/>
      <c r="T146" t="s">
        <v>89</v>
      </c>
      <c r="U146">
        <v>2</v>
      </c>
      <c r="V146"/>
      <c r="W146">
        <v>2</v>
      </c>
      <c r="X146"/>
      <c r="Y146"/>
      <c r="Z146"/>
    </row>
    <row r="147" spans="1:26" x14ac:dyDescent="0.55000000000000004">
      <c r="B147" s="1" t="s">
        <v>162</v>
      </c>
      <c r="C147" s="1" t="s">
        <v>163</v>
      </c>
      <c r="D147" s="1" t="s">
        <v>88</v>
      </c>
      <c r="E147" s="59">
        <v>27325</v>
      </c>
      <c r="F147" s="60">
        <f t="shared" ca="1" si="34"/>
        <v>51.336111111111109</v>
      </c>
      <c r="G147" s="61" t="str">
        <f t="shared" ca="1" si="35"/>
        <v>51ปี 4 เดือน 1วัน</v>
      </c>
      <c r="H147" s="62">
        <v>39113</v>
      </c>
      <c r="I147" s="60">
        <f t="shared" ca="1" si="36"/>
        <v>19.066666666666666</v>
      </c>
      <c r="J147" s="1" t="s">
        <v>121</v>
      </c>
      <c r="K147" s="1" t="s">
        <v>90</v>
      </c>
      <c r="L147" s="65">
        <v>13000</v>
      </c>
      <c r="M147" s="43">
        <v>39113</v>
      </c>
      <c r="N147" s="44">
        <v>39293</v>
      </c>
      <c r="O147" s="1" t="s">
        <v>91</v>
      </c>
      <c r="P147" s="1" t="s">
        <v>164</v>
      </c>
      <c r="S147"/>
      <c r="T147" t="s">
        <v>97</v>
      </c>
      <c r="U147">
        <v>2</v>
      </c>
      <c r="V147">
        <v>1</v>
      </c>
      <c r="W147">
        <v>3</v>
      </c>
      <c r="X147"/>
      <c r="Y147"/>
      <c r="Z147"/>
    </row>
    <row r="148" spans="1:26" x14ac:dyDescent="0.55000000000000004">
      <c r="B148" s="1" t="s">
        <v>165</v>
      </c>
      <c r="C148" s="1" t="s">
        <v>166</v>
      </c>
      <c r="D148" s="1" t="s">
        <v>95</v>
      </c>
      <c r="E148" s="59">
        <v>22252</v>
      </c>
      <c r="F148" s="60">
        <f t="shared" ca="1" si="34"/>
        <v>65.227777777777774</v>
      </c>
      <c r="G148" s="61" t="str">
        <f t="shared" ca="1" si="35"/>
        <v>65ปี 2 เดือน 22วัน</v>
      </c>
      <c r="H148" s="62">
        <v>39256</v>
      </c>
      <c r="I148" s="60">
        <f t="shared" ca="1" si="36"/>
        <v>18.669444444444444</v>
      </c>
      <c r="J148" s="1" t="s">
        <v>89</v>
      </c>
      <c r="K148" s="1" t="s">
        <v>98</v>
      </c>
      <c r="L148" s="65">
        <v>13000</v>
      </c>
      <c r="M148" s="43">
        <v>39256</v>
      </c>
      <c r="N148" s="44">
        <v>39436</v>
      </c>
      <c r="O148" s="1" t="s">
        <v>91</v>
      </c>
      <c r="P148" s="1" t="s">
        <v>167</v>
      </c>
      <c r="S148"/>
      <c r="T148" t="s">
        <v>106</v>
      </c>
      <c r="U148">
        <v>1</v>
      </c>
      <c r="V148">
        <v>3</v>
      </c>
      <c r="W148">
        <v>4</v>
      </c>
      <c r="X148"/>
      <c r="Y148"/>
      <c r="Z148"/>
    </row>
    <row r="149" spans="1:26" x14ac:dyDescent="0.55000000000000004">
      <c r="B149" s="1" t="s">
        <v>168</v>
      </c>
      <c r="C149" s="1" t="s">
        <v>169</v>
      </c>
      <c r="D149" s="1" t="s">
        <v>95</v>
      </c>
      <c r="E149" s="59">
        <v>27676</v>
      </c>
      <c r="F149" s="60">
        <f t="shared" ca="1" si="34"/>
        <v>50.375</v>
      </c>
      <c r="G149" s="61" t="str">
        <f t="shared" ca="1" si="35"/>
        <v>50ปี 4 เดือน 15วัน</v>
      </c>
      <c r="H149" s="62">
        <v>35706</v>
      </c>
      <c r="I149" s="60">
        <f t="shared" ca="1" si="36"/>
        <v>28.391666666666666</v>
      </c>
      <c r="J149" s="1" t="s">
        <v>111</v>
      </c>
      <c r="K149" s="1" t="s">
        <v>98</v>
      </c>
      <c r="L149" s="65">
        <v>13000</v>
      </c>
      <c r="M149" s="43">
        <v>35706</v>
      </c>
      <c r="N149" s="44">
        <v>35886</v>
      </c>
      <c r="O149" s="1" t="s">
        <v>91</v>
      </c>
      <c r="P149" s="1" t="s">
        <v>170</v>
      </c>
      <c r="S149"/>
      <c r="T149" t="s">
        <v>111</v>
      </c>
      <c r="U149">
        <v>1</v>
      </c>
      <c r="V149">
        <v>1</v>
      </c>
      <c r="W149">
        <v>2</v>
      </c>
      <c r="X149"/>
      <c r="Y149"/>
      <c r="Z149"/>
    </row>
    <row r="150" spans="1:26" x14ac:dyDescent="0.55000000000000004">
      <c r="B150" s="1" t="s">
        <v>171</v>
      </c>
      <c r="C150" s="1" t="s">
        <v>172</v>
      </c>
      <c r="D150" s="1" t="s">
        <v>95</v>
      </c>
      <c r="E150" s="59">
        <v>31200</v>
      </c>
      <c r="F150" s="60">
        <f t="shared" ca="1" si="34"/>
        <v>40.727777777777774</v>
      </c>
      <c r="G150" s="61" t="str">
        <f t="shared" ca="1" si="35"/>
        <v>40ปี 8 เดือน 22วัน</v>
      </c>
      <c r="H150" s="62">
        <v>39230</v>
      </c>
      <c r="I150" s="60">
        <f t="shared" ca="1" si="36"/>
        <v>18.738888888888887</v>
      </c>
      <c r="J150" s="1" t="s">
        <v>89</v>
      </c>
      <c r="K150" s="1" t="s">
        <v>122</v>
      </c>
      <c r="L150" s="65">
        <v>13000</v>
      </c>
      <c r="M150" s="43">
        <v>39230</v>
      </c>
      <c r="N150" s="44">
        <v>39410</v>
      </c>
      <c r="O150" s="1" t="s">
        <v>91</v>
      </c>
      <c r="P150" s="1" t="s">
        <v>173</v>
      </c>
      <c r="S150" t="s">
        <v>203</v>
      </c>
      <c r="T150"/>
      <c r="U150">
        <v>18</v>
      </c>
      <c r="V150">
        <v>13</v>
      </c>
      <c r="W150">
        <v>31</v>
      </c>
      <c r="X150"/>
      <c r="Y150"/>
      <c r="Z150"/>
    </row>
    <row r="151" spans="1:26" x14ac:dyDescent="0.55000000000000004">
      <c r="B151" s="1" t="s">
        <v>174</v>
      </c>
      <c r="C151" s="1" t="s">
        <v>175</v>
      </c>
      <c r="D151" s="1" t="s">
        <v>95</v>
      </c>
      <c r="E151" s="59">
        <v>23486</v>
      </c>
      <c r="F151" s="60">
        <f t="shared" ca="1" si="34"/>
        <v>61.847222222222221</v>
      </c>
      <c r="G151" s="61" t="str">
        <f t="shared" ca="1" si="35"/>
        <v>61ปี 10 เดือน 5วัน</v>
      </c>
      <c r="H151" s="62">
        <v>39187</v>
      </c>
      <c r="I151" s="60">
        <f t="shared" ca="1" si="36"/>
        <v>18.858333333333334</v>
      </c>
      <c r="J151" s="1" t="s">
        <v>106</v>
      </c>
      <c r="K151" s="1" t="s">
        <v>98</v>
      </c>
      <c r="L151" s="65">
        <v>13000</v>
      </c>
      <c r="M151" s="43">
        <v>39187</v>
      </c>
      <c r="N151" s="44">
        <v>39367</v>
      </c>
      <c r="O151" s="1" t="s">
        <v>91</v>
      </c>
      <c r="P151" s="1" t="s">
        <v>176</v>
      </c>
      <c r="R151"/>
      <c r="S151"/>
      <c r="T151"/>
      <c r="U151"/>
      <c r="V151"/>
      <c r="W151"/>
      <c r="X151"/>
      <c r="Y151"/>
    </row>
    <row r="152" spans="1:26" x14ac:dyDescent="0.55000000000000004">
      <c r="B152" s="1" t="s">
        <v>177</v>
      </c>
      <c r="C152" s="1" t="s">
        <v>178</v>
      </c>
      <c r="D152" s="1" t="s">
        <v>88</v>
      </c>
      <c r="E152" s="59">
        <v>27259</v>
      </c>
      <c r="F152" s="60">
        <f t="shared" ca="1" si="34"/>
        <v>51.516666666666666</v>
      </c>
      <c r="G152" s="61" t="str">
        <f t="shared" ca="1" si="35"/>
        <v>51ปี 6 เดือน 6วัน</v>
      </c>
      <c r="H152" s="62">
        <v>35654</v>
      </c>
      <c r="I152" s="60">
        <f t="shared" ca="1" si="36"/>
        <v>28.533333333333335</v>
      </c>
      <c r="J152" s="1" t="s">
        <v>138</v>
      </c>
      <c r="K152" s="1" t="s">
        <v>98</v>
      </c>
      <c r="L152" s="65">
        <v>13000</v>
      </c>
      <c r="M152" s="43">
        <v>35654</v>
      </c>
      <c r="N152" s="44">
        <v>35834</v>
      </c>
      <c r="O152" s="1" t="s">
        <v>91</v>
      </c>
      <c r="P152" s="1" t="s">
        <v>179</v>
      </c>
      <c r="R152"/>
      <c r="S152"/>
      <c r="T152"/>
      <c r="U152"/>
    </row>
    <row r="153" spans="1:26" x14ac:dyDescent="0.55000000000000004">
      <c r="B153" s="1" t="s">
        <v>180</v>
      </c>
      <c r="C153" s="1" t="s">
        <v>181</v>
      </c>
      <c r="D153" s="1" t="s">
        <v>88</v>
      </c>
      <c r="E153" s="59">
        <v>34571</v>
      </c>
      <c r="F153" s="60">
        <f t="shared" ca="1" si="34"/>
        <v>31.497222222222224</v>
      </c>
      <c r="G153" s="61" t="str">
        <f t="shared" ca="1" si="35"/>
        <v>31ปี 5 เดือน 30วัน</v>
      </c>
      <c r="H153" s="62">
        <v>41870</v>
      </c>
      <c r="I153" s="60">
        <f t="shared" ca="1" si="36"/>
        <v>11.513888888888889</v>
      </c>
      <c r="J153" s="1" t="s">
        <v>97</v>
      </c>
      <c r="K153" s="1" t="s">
        <v>122</v>
      </c>
      <c r="L153" s="65">
        <v>13000</v>
      </c>
      <c r="M153" s="43">
        <v>41870</v>
      </c>
      <c r="N153" s="44">
        <v>42050</v>
      </c>
      <c r="O153" s="1" t="s">
        <v>91</v>
      </c>
      <c r="P153" s="1" t="s">
        <v>182</v>
      </c>
      <c r="R153"/>
      <c r="S153"/>
      <c r="T153"/>
      <c r="U153"/>
    </row>
    <row r="154" spans="1:26" x14ac:dyDescent="0.55000000000000004">
      <c r="B154" s="1" t="s">
        <v>183</v>
      </c>
      <c r="C154" s="1" t="s">
        <v>184</v>
      </c>
      <c r="D154" s="1" t="s">
        <v>88</v>
      </c>
      <c r="E154" s="59">
        <v>27726</v>
      </c>
      <c r="F154" s="60">
        <f t="shared" ca="1" si="34"/>
        <v>50.238888888888887</v>
      </c>
      <c r="G154" s="61" t="str">
        <f t="shared" ca="1" si="35"/>
        <v>50ปี 2 เดือน 27วัน</v>
      </c>
      <c r="H154" s="62">
        <v>38124</v>
      </c>
      <c r="I154" s="60">
        <f t="shared" ca="1" si="36"/>
        <v>21.769444444444446</v>
      </c>
      <c r="J154" s="1" t="s">
        <v>97</v>
      </c>
      <c r="K154" s="1" t="s">
        <v>90</v>
      </c>
      <c r="L154" s="65">
        <v>13000</v>
      </c>
      <c r="M154" s="43">
        <v>38124</v>
      </c>
      <c r="N154" s="44">
        <v>38304</v>
      </c>
      <c r="O154" s="1" t="s">
        <v>91</v>
      </c>
      <c r="P154" s="1" t="s">
        <v>185</v>
      </c>
      <c r="R154"/>
      <c r="S154"/>
      <c r="T154"/>
      <c r="U154"/>
    </row>
    <row r="155" spans="1:26" x14ac:dyDescent="0.55000000000000004">
      <c r="B155" s="1" t="s">
        <v>186</v>
      </c>
      <c r="C155" s="1" t="s">
        <v>187</v>
      </c>
      <c r="D155" s="1" t="s">
        <v>95</v>
      </c>
      <c r="E155" s="59">
        <v>29300</v>
      </c>
      <c r="F155" s="60">
        <f t="shared" ca="1" si="34"/>
        <v>45.927777777777777</v>
      </c>
      <c r="G155" s="61" t="str">
        <f t="shared" ca="1" si="35"/>
        <v>45ปี 11 เดือน 4วัน</v>
      </c>
      <c r="H155" s="62">
        <v>38060</v>
      </c>
      <c r="I155" s="60">
        <f t="shared" ca="1" si="36"/>
        <v>21.944444444444443</v>
      </c>
      <c r="J155" s="1" t="s">
        <v>106</v>
      </c>
      <c r="K155" s="1" t="s">
        <v>107</v>
      </c>
      <c r="L155" s="65">
        <v>13000</v>
      </c>
      <c r="M155" s="43">
        <v>38060</v>
      </c>
      <c r="N155" s="44">
        <v>38240</v>
      </c>
      <c r="O155" s="1" t="s">
        <v>91</v>
      </c>
      <c r="P155" s="1" t="s">
        <v>188</v>
      </c>
      <c r="R155"/>
      <c r="S155"/>
      <c r="T155"/>
      <c r="U155"/>
    </row>
    <row r="156" spans="1:26" x14ac:dyDescent="0.55000000000000004">
      <c r="B156" s="1" t="s">
        <v>189</v>
      </c>
      <c r="C156" s="1" t="s">
        <v>190</v>
      </c>
      <c r="D156" s="1" t="s">
        <v>88</v>
      </c>
      <c r="E156" s="59">
        <v>35926</v>
      </c>
      <c r="F156" s="60">
        <f t="shared" ca="1" si="34"/>
        <v>27.786111111111111</v>
      </c>
      <c r="G156" s="61" t="str">
        <f t="shared" ca="1" si="35"/>
        <v>27ปี 9 เดือน 13วัน</v>
      </c>
      <c r="H156" s="62">
        <v>42803</v>
      </c>
      <c r="I156" s="60">
        <f t="shared" ca="1" si="36"/>
        <v>8.9583333333333339</v>
      </c>
      <c r="J156" s="1" t="s">
        <v>106</v>
      </c>
      <c r="K156" s="1" t="s">
        <v>107</v>
      </c>
      <c r="L156" s="65">
        <v>13000</v>
      </c>
      <c r="M156" s="43">
        <v>42803</v>
      </c>
      <c r="N156" s="44">
        <v>42983</v>
      </c>
      <c r="O156" s="1" t="s">
        <v>91</v>
      </c>
      <c r="P156" s="1" t="s">
        <v>191</v>
      </c>
      <c r="R156"/>
      <c r="S156"/>
      <c r="T156"/>
      <c r="U156"/>
    </row>
    <row r="157" spans="1:26" x14ac:dyDescent="0.55000000000000004">
      <c r="B157" s="1" t="s">
        <v>192</v>
      </c>
      <c r="C157" s="1" t="s">
        <v>193</v>
      </c>
      <c r="D157" s="1" t="s">
        <v>95</v>
      </c>
      <c r="E157" s="59">
        <v>23519</v>
      </c>
      <c r="F157" s="60">
        <f t="shared" ca="1" si="34"/>
        <v>61.755555555555553</v>
      </c>
      <c r="G157" s="61" t="str">
        <f t="shared" ca="1" si="35"/>
        <v>61ปี 9 เดือน 2วัน</v>
      </c>
      <c r="H157" s="62">
        <v>31184</v>
      </c>
      <c r="I157" s="60">
        <f t="shared" ca="1" si="36"/>
        <v>40.769444444444446</v>
      </c>
      <c r="J157" s="1" t="s">
        <v>97</v>
      </c>
      <c r="K157" s="1" t="s">
        <v>107</v>
      </c>
      <c r="L157" s="65">
        <v>13000</v>
      </c>
      <c r="M157" s="43">
        <v>31184</v>
      </c>
      <c r="N157" s="44">
        <v>31364</v>
      </c>
      <c r="O157" s="1" t="s">
        <v>91</v>
      </c>
      <c r="P157" s="1" t="s">
        <v>194</v>
      </c>
      <c r="R157"/>
      <c r="S157"/>
      <c r="T157"/>
      <c r="U157"/>
    </row>
    <row r="158" spans="1:26" x14ac:dyDescent="0.55000000000000004">
      <c r="R158"/>
      <c r="S158"/>
      <c r="T158"/>
      <c r="U158"/>
    </row>
    <row r="159" spans="1:26" x14ac:dyDescent="0.55000000000000004">
      <c r="A159" s="13">
        <v>244306</v>
      </c>
      <c r="B159" s="51" t="s">
        <v>233</v>
      </c>
      <c r="C159" s="51"/>
      <c r="D159" s="51"/>
      <c r="R159"/>
      <c r="S159"/>
      <c r="T159"/>
      <c r="U159"/>
    </row>
    <row r="160" spans="1:26" x14ac:dyDescent="0.55000000000000004">
      <c r="B160" s="26" t="s">
        <v>72</v>
      </c>
      <c r="C160" s="26" t="s">
        <v>73</v>
      </c>
      <c r="D160" s="26" t="s">
        <v>74</v>
      </c>
      <c r="E160" s="26" t="s">
        <v>75</v>
      </c>
      <c r="F160" s="26" t="s">
        <v>76</v>
      </c>
      <c r="G160" s="26" t="s">
        <v>77</v>
      </c>
      <c r="H160" s="26" t="s">
        <v>229</v>
      </c>
      <c r="I160" s="26" t="s">
        <v>230</v>
      </c>
      <c r="K160" s="45" t="s">
        <v>204</v>
      </c>
      <c r="L160" s="45" t="s">
        <v>205</v>
      </c>
      <c r="M160"/>
      <c r="N160"/>
      <c r="O160"/>
      <c r="P160"/>
      <c r="Q160"/>
      <c r="R160"/>
      <c r="S160"/>
      <c r="T160"/>
      <c r="U160"/>
    </row>
    <row r="161" spans="2:21" x14ac:dyDescent="0.55000000000000004">
      <c r="B161" s="1" t="s">
        <v>86</v>
      </c>
      <c r="C161" s="1" t="s">
        <v>87</v>
      </c>
      <c r="D161" s="57" t="s">
        <v>88</v>
      </c>
      <c r="E161" s="58">
        <v>21980</v>
      </c>
      <c r="F161" s="57" t="s">
        <v>231</v>
      </c>
      <c r="G161" s="57" t="str">
        <f>F161</f>
        <v>Baby boomer</v>
      </c>
      <c r="H161" s="63">
        <f ca="1">YEARFRAC(E161,TODAY())</f>
        <v>65.969444444444449</v>
      </c>
      <c r="I161" s="64" t="str">
        <f ca="1">VLOOKUP(H161,Gen!$C$3:$D$10,2)</f>
        <v>61 - 69</v>
      </c>
      <c r="K161" s="45" t="s">
        <v>202</v>
      </c>
      <c r="L161" t="s">
        <v>95</v>
      </c>
      <c r="M161" t="s">
        <v>88</v>
      </c>
      <c r="N161" t="s">
        <v>203</v>
      </c>
      <c r="O161"/>
      <c r="P161"/>
      <c r="Q161"/>
      <c r="R161"/>
      <c r="S161"/>
      <c r="T161"/>
      <c r="U161"/>
    </row>
    <row r="162" spans="2:21" x14ac:dyDescent="0.55000000000000004">
      <c r="B162" s="1" t="s">
        <v>93</v>
      </c>
      <c r="C162" s="1" t="s">
        <v>94</v>
      </c>
      <c r="D162" s="57" t="s">
        <v>95</v>
      </c>
      <c r="E162" s="58">
        <v>25178</v>
      </c>
      <c r="F162" s="57" t="s">
        <v>96</v>
      </c>
      <c r="G162" s="57" t="str">
        <f t="shared" ref="G162:G191" si="37">F162</f>
        <v>Gen X</v>
      </c>
      <c r="H162" s="63">
        <f t="shared" ref="H162:H191" ca="1" si="38">YEARFRAC(E162,TODAY())</f>
        <v>57.216666666666669</v>
      </c>
      <c r="I162" s="64" t="str">
        <f ca="1">VLOOKUP(H162,Gen!$C$3:$D$10,2)</f>
        <v>56 - 60</v>
      </c>
      <c r="K162" s="46" t="s">
        <v>234</v>
      </c>
      <c r="L162" s="78">
        <v>1</v>
      </c>
      <c r="M162" s="78">
        <v>1</v>
      </c>
      <c r="N162" s="78">
        <v>2</v>
      </c>
      <c r="O162"/>
      <c r="P162"/>
      <c r="Q162"/>
      <c r="R162"/>
      <c r="S162"/>
      <c r="T162"/>
      <c r="U162"/>
    </row>
    <row r="163" spans="2:21" x14ac:dyDescent="0.55000000000000004">
      <c r="B163" s="1" t="s">
        <v>100</v>
      </c>
      <c r="C163" s="1" t="s">
        <v>101</v>
      </c>
      <c r="D163" s="57" t="s">
        <v>95</v>
      </c>
      <c r="E163" s="58">
        <v>31929</v>
      </c>
      <c r="F163" s="57" t="s">
        <v>102</v>
      </c>
      <c r="G163" s="57" t="str">
        <f t="shared" si="37"/>
        <v>Gen Y</v>
      </c>
      <c r="H163" s="63">
        <f t="shared" ca="1" si="38"/>
        <v>38.730555555555554</v>
      </c>
      <c r="I163" s="64" t="str">
        <f ca="1">VLOOKUP(H163,Gen!$C$3:$D$10,2)</f>
        <v>31 - 40</v>
      </c>
      <c r="K163" s="46" t="s">
        <v>235</v>
      </c>
      <c r="L163" s="78">
        <v>3</v>
      </c>
      <c r="M163" s="78">
        <v>4</v>
      </c>
      <c r="N163" s="78">
        <v>7</v>
      </c>
      <c r="R163"/>
      <c r="S163"/>
      <c r="T163"/>
      <c r="U163"/>
    </row>
    <row r="164" spans="2:21" x14ac:dyDescent="0.55000000000000004">
      <c r="B164" s="1" t="s">
        <v>104</v>
      </c>
      <c r="C164" s="1" t="s">
        <v>105</v>
      </c>
      <c r="D164" s="57" t="s">
        <v>88</v>
      </c>
      <c r="E164" s="58">
        <v>33446</v>
      </c>
      <c r="F164" s="57" t="s">
        <v>102</v>
      </c>
      <c r="G164" s="57" t="str">
        <f t="shared" si="37"/>
        <v>Gen Y</v>
      </c>
      <c r="H164" s="63">
        <f t="shared" ca="1" si="38"/>
        <v>34.575000000000003</v>
      </c>
      <c r="I164" s="64" t="str">
        <f ca="1">VLOOKUP(H164,Gen!$C$3:$D$10,2)</f>
        <v>31 - 40</v>
      </c>
      <c r="K164" s="46" t="s">
        <v>236</v>
      </c>
      <c r="L164" s="78">
        <v>4</v>
      </c>
      <c r="M164" s="78">
        <v>2</v>
      </c>
      <c r="N164" s="78">
        <v>6</v>
      </c>
      <c r="R164"/>
      <c r="S164"/>
    </row>
    <row r="165" spans="2:21" x14ac:dyDescent="0.55000000000000004">
      <c r="B165" s="1" t="s">
        <v>109</v>
      </c>
      <c r="C165" s="1" t="s">
        <v>110</v>
      </c>
      <c r="D165" s="57" t="s">
        <v>95</v>
      </c>
      <c r="E165" s="58">
        <v>27262</v>
      </c>
      <c r="F165" s="57" t="s">
        <v>96</v>
      </c>
      <c r="G165" s="57" t="str">
        <f t="shared" si="37"/>
        <v>Gen X</v>
      </c>
      <c r="H165" s="63">
        <f t="shared" ca="1" si="38"/>
        <v>51.508333333333333</v>
      </c>
      <c r="I165" s="64" t="str">
        <f ca="1">VLOOKUP(H165,Gen!$C$3:$D$10,2)</f>
        <v>51 - 55</v>
      </c>
      <c r="K165" s="46" t="s">
        <v>237</v>
      </c>
      <c r="L165" s="78">
        <v>2</v>
      </c>
      <c r="M165" s="78">
        <v>3</v>
      </c>
      <c r="N165" s="78">
        <v>5</v>
      </c>
      <c r="R165"/>
      <c r="S165"/>
    </row>
    <row r="166" spans="2:21" x14ac:dyDescent="0.55000000000000004">
      <c r="B166" s="1" t="s">
        <v>113</v>
      </c>
      <c r="C166" s="1" t="s">
        <v>114</v>
      </c>
      <c r="D166" s="57" t="s">
        <v>95</v>
      </c>
      <c r="E166" s="58">
        <v>27621</v>
      </c>
      <c r="F166" s="57" t="s">
        <v>96</v>
      </c>
      <c r="G166" s="57" t="str">
        <f t="shared" si="37"/>
        <v>Gen X</v>
      </c>
      <c r="H166" s="63">
        <f t="shared" ca="1" si="38"/>
        <v>50.524999999999999</v>
      </c>
      <c r="I166" s="64" t="str">
        <f ca="1">VLOOKUP(H166,Gen!$C$3:$D$10,2)</f>
        <v>41 - 50</v>
      </c>
      <c r="K166" s="46" t="s">
        <v>238</v>
      </c>
      <c r="L166" s="78">
        <v>2</v>
      </c>
      <c r="M166" s="78"/>
      <c r="N166" s="78">
        <v>2</v>
      </c>
      <c r="R166"/>
      <c r="S166"/>
    </row>
    <row r="167" spans="2:21" x14ac:dyDescent="0.55000000000000004">
      <c r="B167" s="1" t="s">
        <v>116</v>
      </c>
      <c r="C167" s="1" t="s">
        <v>117</v>
      </c>
      <c r="D167" s="57" t="s">
        <v>88</v>
      </c>
      <c r="E167" s="58">
        <v>23323</v>
      </c>
      <c r="F167" s="57" t="s">
        <v>231</v>
      </c>
      <c r="G167" s="57" t="str">
        <f t="shared" si="37"/>
        <v>Baby boomer</v>
      </c>
      <c r="H167" s="63">
        <f t="shared" ca="1" si="38"/>
        <v>62.294444444444444</v>
      </c>
      <c r="I167" s="64" t="str">
        <f ca="1">VLOOKUP(H167,Gen!$C$3:$D$10,2)</f>
        <v>61 - 69</v>
      </c>
      <c r="K167" s="46" t="s">
        <v>239</v>
      </c>
      <c r="L167" s="78">
        <v>6</v>
      </c>
      <c r="M167" s="78">
        <v>3</v>
      </c>
      <c r="N167" s="78">
        <v>9</v>
      </c>
      <c r="R167"/>
      <c r="S167"/>
    </row>
    <row r="168" spans="2:21" x14ac:dyDescent="0.55000000000000004">
      <c r="B168" s="1" t="s">
        <v>119</v>
      </c>
      <c r="C168" s="1" t="s">
        <v>120</v>
      </c>
      <c r="D168" s="57" t="s">
        <v>95</v>
      </c>
      <c r="E168" s="58">
        <v>30484</v>
      </c>
      <c r="F168" s="57" t="s">
        <v>102</v>
      </c>
      <c r="G168" s="57" t="str">
        <f t="shared" si="37"/>
        <v>Gen Y</v>
      </c>
      <c r="H168" s="63">
        <f t="shared" ca="1" si="38"/>
        <v>42.68611111111111</v>
      </c>
      <c r="I168" s="64" t="str">
        <f ca="1">VLOOKUP(H168,Gen!$C$3:$D$10,2)</f>
        <v>41 - 50</v>
      </c>
      <c r="K168" s="46" t="s">
        <v>203</v>
      </c>
      <c r="L168" s="78">
        <v>18</v>
      </c>
      <c r="M168" s="78">
        <v>13</v>
      </c>
      <c r="N168" s="78">
        <v>31</v>
      </c>
      <c r="R168"/>
      <c r="S168"/>
    </row>
    <row r="169" spans="2:21" x14ac:dyDescent="0.55000000000000004">
      <c r="B169" s="1" t="s">
        <v>124</v>
      </c>
      <c r="C169" s="1" t="s">
        <v>125</v>
      </c>
      <c r="D169" s="57" t="s">
        <v>95</v>
      </c>
      <c r="E169" s="58">
        <v>31819</v>
      </c>
      <c r="F169" s="57" t="s">
        <v>102</v>
      </c>
      <c r="G169" s="57" t="str">
        <f t="shared" si="37"/>
        <v>Gen Y</v>
      </c>
      <c r="H169" s="63">
        <f t="shared" ca="1" si="38"/>
        <v>39.036111111111111</v>
      </c>
      <c r="I169" s="64" t="str">
        <f ca="1">VLOOKUP(H169,Gen!$C$3:$D$10,2)</f>
        <v>31 - 40</v>
      </c>
      <c r="M169"/>
      <c r="R169"/>
      <c r="S169"/>
    </row>
    <row r="170" spans="2:21" x14ac:dyDescent="0.55000000000000004">
      <c r="B170" s="1" t="s">
        <v>127</v>
      </c>
      <c r="C170" s="1" t="s">
        <v>128</v>
      </c>
      <c r="D170" s="57" t="s">
        <v>95</v>
      </c>
      <c r="E170" s="58">
        <v>22739</v>
      </c>
      <c r="F170" s="57" t="s">
        <v>231</v>
      </c>
      <c r="G170" s="57" t="str">
        <f t="shared" si="37"/>
        <v>Baby boomer</v>
      </c>
      <c r="H170" s="63">
        <f t="shared" ca="1" si="38"/>
        <v>63.891666666666666</v>
      </c>
      <c r="I170" s="64" t="str">
        <f ca="1">VLOOKUP(H170,Gen!$C$3:$D$10,2)</f>
        <v>61 - 69</v>
      </c>
      <c r="M170"/>
      <c r="R170"/>
      <c r="S170"/>
    </row>
    <row r="171" spans="2:21" x14ac:dyDescent="0.55000000000000004">
      <c r="B171" s="1" t="s">
        <v>130</v>
      </c>
      <c r="C171" s="1" t="s">
        <v>131</v>
      </c>
      <c r="D171" s="57" t="s">
        <v>95</v>
      </c>
      <c r="E171" s="58">
        <v>26416</v>
      </c>
      <c r="F171" s="57" t="s">
        <v>96</v>
      </c>
      <c r="G171" s="57" t="str">
        <f t="shared" si="37"/>
        <v>Gen X</v>
      </c>
      <c r="H171" s="63">
        <f t="shared" ca="1" si="38"/>
        <v>53.825000000000003</v>
      </c>
      <c r="I171" s="64" t="str">
        <f ca="1">VLOOKUP(H171,Gen!$C$3:$D$10,2)</f>
        <v>51 - 55</v>
      </c>
      <c r="M171"/>
      <c r="R171"/>
      <c r="S171"/>
    </row>
    <row r="172" spans="2:21" x14ac:dyDescent="0.55000000000000004">
      <c r="B172" s="1" t="s">
        <v>133</v>
      </c>
      <c r="C172" s="1" t="s">
        <v>134</v>
      </c>
      <c r="D172" s="57" t="s">
        <v>88</v>
      </c>
      <c r="E172" s="58">
        <v>30449</v>
      </c>
      <c r="F172" s="57" t="s">
        <v>102</v>
      </c>
      <c r="G172" s="57" t="str">
        <f t="shared" si="37"/>
        <v>Gen Y</v>
      </c>
      <c r="H172" s="63">
        <f t="shared" ca="1" si="38"/>
        <v>42.780555555555559</v>
      </c>
      <c r="I172" s="64" t="str">
        <f ca="1">VLOOKUP(H172,Gen!$C$3:$D$10,2)</f>
        <v>41 - 50</v>
      </c>
      <c r="M172"/>
      <c r="R172"/>
      <c r="S172"/>
    </row>
    <row r="173" spans="2:21" x14ac:dyDescent="0.55000000000000004">
      <c r="B173" s="1" t="s">
        <v>136</v>
      </c>
      <c r="C173" s="1" t="s">
        <v>137</v>
      </c>
      <c r="D173" s="57" t="s">
        <v>88</v>
      </c>
      <c r="E173" s="58">
        <v>26695</v>
      </c>
      <c r="F173" s="57" t="s">
        <v>231</v>
      </c>
      <c r="G173" s="57" t="str">
        <f t="shared" si="37"/>
        <v>Baby boomer</v>
      </c>
      <c r="H173" s="63">
        <f t="shared" ca="1" si="38"/>
        <v>53.06666666666667</v>
      </c>
      <c r="I173" s="64" t="str">
        <f ca="1">VLOOKUP(H173,Gen!$C$3:$D$10,2)</f>
        <v>51 - 55</v>
      </c>
      <c r="M173"/>
    </row>
    <row r="174" spans="2:21" x14ac:dyDescent="0.55000000000000004">
      <c r="B174" s="1" t="s">
        <v>140</v>
      </c>
      <c r="C174" s="1" t="s">
        <v>141</v>
      </c>
      <c r="D174" s="57" t="s">
        <v>88</v>
      </c>
      <c r="E174" s="58">
        <v>33768</v>
      </c>
      <c r="F174" s="57" t="s">
        <v>102</v>
      </c>
      <c r="G174" s="57" t="str">
        <f t="shared" si="37"/>
        <v>Gen Y</v>
      </c>
      <c r="H174" s="63">
        <f t="shared" ca="1" si="38"/>
        <v>33.697222222222223</v>
      </c>
      <c r="I174" s="64" t="str">
        <f ca="1">VLOOKUP(H174,Gen!$C$3:$D$10,2)</f>
        <v>31 - 40</v>
      </c>
      <c r="M174"/>
    </row>
    <row r="175" spans="2:21" x14ac:dyDescent="0.55000000000000004">
      <c r="B175" s="1" t="s">
        <v>143</v>
      </c>
      <c r="C175" s="1" t="s">
        <v>144</v>
      </c>
      <c r="D175" s="57" t="s">
        <v>95</v>
      </c>
      <c r="E175" s="58">
        <v>24970</v>
      </c>
      <c r="F175" s="57" t="s">
        <v>96</v>
      </c>
      <c r="G175" s="57" t="str">
        <f t="shared" si="37"/>
        <v>Gen X</v>
      </c>
      <c r="H175" s="63">
        <f t="shared" ca="1" si="38"/>
        <v>57.783333333333331</v>
      </c>
      <c r="I175" s="64" t="str">
        <f ca="1">VLOOKUP(H175,Gen!$C$3:$D$10,2)</f>
        <v>56 - 60</v>
      </c>
      <c r="M175"/>
    </row>
    <row r="176" spans="2:21" x14ac:dyDescent="0.55000000000000004">
      <c r="B176" s="1" t="s">
        <v>146</v>
      </c>
      <c r="C176" s="1" t="s">
        <v>147</v>
      </c>
      <c r="D176" s="57" t="s">
        <v>95</v>
      </c>
      <c r="E176" s="58">
        <v>22635</v>
      </c>
      <c r="F176" s="57" t="s">
        <v>231</v>
      </c>
      <c r="G176" s="57" t="str">
        <f t="shared" si="37"/>
        <v>Baby boomer</v>
      </c>
      <c r="H176" s="63">
        <f t="shared" ca="1" si="38"/>
        <v>64.177777777777777</v>
      </c>
      <c r="I176" s="64" t="str">
        <f ca="1">VLOOKUP(H176,Gen!$C$3:$D$10,2)</f>
        <v>61 - 69</v>
      </c>
      <c r="M176"/>
    </row>
    <row r="177" spans="2:13" x14ac:dyDescent="0.55000000000000004">
      <c r="B177" s="1" t="s">
        <v>149</v>
      </c>
      <c r="C177" s="1" t="s">
        <v>150</v>
      </c>
      <c r="D177" s="57" t="s">
        <v>88</v>
      </c>
      <c r="E177" s="58">
        <v>34200</v>
      </c>
      <c r="F177" s="57" t="s">
        <v>102</v>
      </c>
      <c r="G177" s="57" t="str">
        <f t="shared" si="37"/>
        <v>Gen Y</v>
      </c>
      <c r="H177" s="63">
        <f t="shared" ca="1" si="38"/>
        <v>32.513888888888886</v>
      </c>
      <c r="I177" s="64" t="str">
        <f ca="1">VLOOKUP(H177,Gen!$C$3:$D$10,2)</f>
        <v>31 - 40</v>
      </c>
      <c r="K177"/>
      <c r="L177"/>
      <c r="M177"/>
    </row>
    <row r="178" spans="2:13" x14ac:dyDescent="0.55000000000000004">
      <c r="B178" s="1" t="s">
        <v>152</v>
      </c>
      <c r="C178" s="1" t="s">
        <v>153</v>
      </c>
      <c r="D178" s="57" t="s">
        <v>88</v>
      </c>
      <c r="E178" s="58">
        <v>23488</v>
      </c>
      <c r="F178" s="57" t="s">
        <v>231</v>
      </c>
      <c r="G178" s="57" t="str">
        <f t="shared" si="37"/>
        <v>Baby boomer</v>
      </c>
      <c r="H178" s="63">
        <f t="shared" ca="1" si="38"/>
        <v>61.841666666666669</v>
      </c>
      <c r="I178" s="64" t="str">
        <f ca="1">VLOOKUP(H178,Gen!$C$3:$D$10,2)</f>
        <v>61 - 69</v>
      </c>
      <c r="K178"/>
      <c r="L178"/>
      <c r="M178"/>
    </row>
    <row r="179" spans="2:13" x14ac:dyDescent="0.55000000000000004">
      <c r="B179" s="1" t="s">
        <v>155</v>
      </c>
      <c r="C179" s="1" t="s">
        <v>156</v>
      </c>
      <c r="D179" s="57" t="s">
        <v>95</v>
      </c>
      <c r="E179" s="58">
        <v>23212</v>
      </c>
      <c r="F179" s="57" t="s">
        <v>231</v>
      </c>
      <c r="G179" s="57" t="str">
        <f t="shared" si="37"/>
        <v>Baby boomer</v>
      </c>
      <c r="H179" s="63">
        <f t="shared" ca="1" si="38"/>
        <v>62.594444444444441</v>
      </c>
      <c r="I179" s="64" t="str">
        <f ca="1">VLOOKUP(H179,Gen!$C$3:$D$10,2)</f>
        <v>61 - 69</v>
      </c>
      <c r="K179"/>
      <c r="L179"/>
      <c r="M179"/>
    </row>
    <row r="180" spans="2:13" x14ac:dyDescent="0.55000000000000004">
      <c r="B180" s="1" t="s">
        <v>158</v>
      </c>
      <c r="C180" s="1" t="s">
        <v>159</v>
      </c>
      <c r="D180" s="57" t="s">
        <v>95</v>
      </c>
      <c r="E180" s="58">
        <v>36438</v>
      </c>
      <c r="F180" s="57" t="s">
        <v>71</v>
      </c>
      <c r="G180" s="57" t="str">
        <f t="shared" si="37"/>
        <v>Gen Z</v>
      </c>
      <c r="H180" s="63">
        <f t="shared" ca="1" si="38"/>
        <v>26.386111111111113</v>
      </c>
      <c r="I180" s="64" t="str">
        <f ca="1">VLOOKUP(H180,Gen!$C$3:$D$10,2)</f>
        <v>26 - 30</v>
      </c>
      <c r="K180"/>
      <c r="L180"/>
      <c r="M180"/>
    </row>
    <row r="181" spans="2:13" x14ac:dyDescent="0.55000000000000004">
      <c r="B181" s="1" t="s">
        <v>162</v>
      </c>
      <c r="C181" s="1" t="s">
        <v>163</v>
      </c>
      <c r="D181" s="57" t="s">
        <v>88</v>
      </c>
      <c r="E181" s="58">
        <v>27325</v>
      </c>
      <c r="F181" s="57" t="s">
        <v>96</v>
      </c>
      <c r="G181" s="57" t="str">
        <f t="shared" si="37"/>
        <v>Gen X</v>
      </c>
      <c r="H181" s="63">
        <f t="shared" ca="1" si="38"/>
        <v>51.336111111111109</v>
      </c>
      <c r="I181" s="64" t="str">
        <f ca="1">VLOOKUP(H181,Gen!$C$3:$D$10,2)</f>
        <v>51 - 55</v>
      </c>
      <c r="K181"/>
      <c r="L181"/>
      <c r="M181"/>
    </row>
    <row r="182" spans="2:13" x14ac:dyDescent="0.55000000000000004">
      <c r="B182" s="1" t="s">
        <v>165</v>
      </c>
      <c r="C182" s="1" t="s">
        <v>166</v>
      </c>
      <c r="D182" s="57" t="s">
        <v>95</v>
      </c>
      <c r="E182" s="58">
        <v>22252</v>
      </c>
      <c r="F182" s="57" t="s">
        <v>231</v>
      </c>
      <c r="G182" s="57" t="str">
        <f t="shared" si="37"/>
        <v>Baby boomer</v>
      </c>
      <c r="H182" s="63">
        <f t="shared" ca="1" si="38"/>
        <v>65.227777777777774</v>
      </c>
      <c r="I182" s="64" t="str">
        <f ca="1">VLOOKUP(H182,Gen!$C$3:$D$10,2)</f>
        <v>61 - 69</v>
      </c>
      <c r="K182"/>
      <c r="L182"/>
      <c r="M182"/>
    </row>
    <row r="183" spans="2:13" x14ac:dyDescent="0.55000000000000004">
      <c r="B183" s="1" t="s">
        <v>168</v>
      </c>
      <c r="C183" s="1" t="s">
        <v>169</v>
      </c>
      <c r="D183" s="57" t="s">
        <v>95</v>
      </c>
      <c r="E183" s="58">
        <v>27676</v>
      </c>
      <c r="F183" s="57" t="s">
        <v>96</v>
      </c>
      <c r="G183" s="57" t="str">
        <f t="shared" si="37"/>
        <v>Gen X</v>
      </c>
      <c r="H183" s="63">
        <f t="shared" ca="1" si="38"/>
        <v>50.375</v>
      </c>
      <c r="I183" s="64" t="str">
        <f ca="1">VLOOKUP(H183,Gen!$C$3:$D$10,2)</f>
        <v>41 - 50</v>
      </c>
      <c r="K183"/>
      <c r="L183"/>
      <c r="M183"/>
    </row>
    <row r="184" spans="2:13" x14ac:dyDescent="0.55000000000000004">
      <c r="B184" s="1" t="s">
        <v>171</v>
      </c>
      <c r="C184" s="1" t="s">
        <v>172</v>
      </c>
      <c r="D184" s="57" t="s">
        <v>95</v>
      </c>
      <c r="E184" s="58">
        <v>31200</v>
      </c>
      <c r="F184" s="57" t="s">
        <v>102</v>
      </c>
      <c r="G184" s="57" t="str">
        <f t="shared" si="37"/>
        <v>Gen Y</v>
      </c>
      <c r="H184" s="63">
        <f t="shared" ca="1" si="38"/>
        <v>40.727777777777774</v>
      </c>
      <c r="I184" s="64" t="str">
        <f ca="1">VLOOKUP(H184,Gen!$C$3:$D$10,2)</f>
        <v>31 - 40</v>
      </c>
      <c r="K184"/>
      <c r="L184"/>
      <c r="M184"/>
    </row>
    <row r="185" spans="2:13" x14ac:dyDescent="0.55000000000000004">
      <c r="B185" s="1" t="s">
        <v>174</v>
      </c>
      <c r="C185" s="1" t="s">
        <v>175</v>
      </c>
      <c r="D185" s="57" t="s">
        <v>95</v>
      </c>
      <c r="E185" s="58">
        <v>23486</v>
      </c>
      <c r="F185" s="57" t="s">
        <v>231</v>
      </c>
      <c r="G185" s="57" t="str">
        <f t="shared" si="37"/>
        <v>Baby boomer</v>
      </c>
      <c r="H185" s="63">
        <f t="shared" ca="1" si="38"/>
        <v>61.847222222222221</v>
      </c>
      <c r="I185" s="64" t="str">
        <f ca="1">VLOOKUP(H185,Gen!$C$3:$D$10,2)</f>
        <v>61 - 69</v>
      </c>
      <c r="K185"/>
      <c r="L185"/>
      <c r="M185"/>
    </row>
    <row r="186" spans="2:13" x14ac:dyDescent="0.55000000000000004">
      <c r="B186" s="1" t="s">
        <v>177</v>
      </c>
      <c r="C186" s="1" t="s">
        <v>178</v>
      </c>
      <c r="D186" s="57" t="s">
        <v>88</v>
      </c>
      <c r="E186" s="58">
        <v>27259</v>
      </c>
      <c r="F186" s="57" t="s">
        <v>96</v>
      </c>
      <c r="G186" s="57" t="str">
        <f t="shared" si="37"/>
        <v>Gen X</v>
      </c>
      <c r="H186" s="63">
        <f t="shared" ca="1" si="38"/>
        <v>51.516666666666666</v>
      </c>
      <c r="I186" s="64" t="str">
        <f ca="1">VLOOKUP(H186,Gen!$C$3:$D$10,2)</f>
        <v>51 - 55</v>
      </c>
      <c r="K186"/>
      <c r="L186"/>
      <c r="M186"/>
    </row>
    <row r="187" spans="2:13" x14ac:dyDescent="0.55000000000000004">
      <c r="B187" s="1" t="s">
        <v>180</v>
      </c>
      <c r="C187" s="1" t="s">
        <v>181</v>
      </c>
      <c r="D187" s="57" t="s">
        <v>88</v>
      </c>
      <c r="E187" s="58">
        <v>34571</v>
      </c>
      <c r="F187" s="57" t="s">
        <v>102</v>
      </c>
      <c r="G187" s="57" t="str">
        <f t="shared" si="37"/>
        <v>Gen Y</v>
      </c>
      <c r="H187" s="63">
        <f t="shared" ca="1" si="38"/>
        <v>31.497222222222224</v>
      </c>
      <c r="I187" s="64" t="str">
        <f ca="1">VLOOKUP(H187,Gen!$C$3:$D$10,2)</f>
        <v>31 - 40</v>
      </c>
    </row>
    <row r="188" spans="2:13" x14ac:dyDescent="0.55000000000000004">
      <c r="B188" s="1" t="s">
        <v>183</v>
      </c>
      <c r="C188" s="1" t="s">
        <v>184</v>
      </c>
      <c r="D188" s="57" t="s">
        <v>88</v>
      </c>
      <c r="E188" s="58">
        <v>27726</v>
      </c>
      <c r="F188" s="57" t="s">
        <v>96</v>
      </c>
      <c r="G188" s="57" t="str">
        <f t="shared" si="37"/>
        <v>Gen X</v>
      </c>
      <c r="H188" s="63">
        <f t="shared" ca="1" si="38"/>
        <v>50.238888888888887</v>
      </c>
      <c r="I188" s="64" t="str">
        <f ca="1">VLOOKUP(H188,Gen!$C$3:$D$10,2)</f>
        <v>41 - 50</v>
      </c>
    </row>
    <row r="189" spans="2:13" x14ac:dyDescent="0.55000000000000004">
      <c r="B189" s="1" t="s">
        <v>186</v>
      </c>
      <c r="C189" s="1" t="s">
        <v>187</v>
      </c>
      <c r="D189" s="57" t="s">
        <v>95</v>
      </c>
      <c r="E189" s="58">
        <v>29300</v>
      </c>
      <c r="F189" s="57" t="s">
        <v>102</v>
      </c>
      <c r="G189" s="57" t="str">
        <f t="shared" si="37"/>
        <v>Gen Y</v>
      </c>
      <c r="H189" s="63">
        <f t="shared" ca="1" si="38"/>
        <v>45.927777777777777</v>
      </c>
      <c r="I189" s="64" t="str">
        <f ca="1">VLOOKUP(H189,Gen!$C$3:$D$10,2)</f>
        <v>41 - 50</v>
      </c>
    </row>
    <row r="190" spans="2:13" x14ac:dyDescent="0.55000000000000004">
      <c r="B190" s="1" t="s">
        <v>189</v>
      </c>
      <c r="C190" s="1" t="s">
        <v>190</v>
      </c>
      <c r="D190" s="57" t="s">
        <v>88</v>
      </c>
      <c r="E190" s="58">
        <v>35926</v>
      </c>
      <c r="F190" s="57" t="s">
        <v>71</v>
      </c>
      <c r="G190" s="57" t="str">
        <f t="shared" si="37"/>
        <v>Gen Z</v>
      </c>
      <c r="H190" s="63">
        <f t="shared" ca="1" si="38"/>
        <v>27.786111111111111</v>
      </c>
      <c r="I190" s="64" t="str">
        <f ca="1">VLOOKUP(H190,Gen!$C$3:$D$10,2)</f>
        <v>26 - 30</v>
      </c>
    </row>
    <row r="191" spans="2:13" x14ac:dyDescent="0.55000000000000004">
      <c r="B191" s="1" t="s">
        <v>192</v>
      </c>
      <c r="C191" s="1" t="s">
        <v>193</v>
      </c>
      <c r="D191" s="57" t="s">
        <v>95</v>
      </c>
      <c r="E191" s="58">
        <v>23519</v>
      </c>
      <c r="F191" s="57" t="s">
        <v>231</v>
      </c>
      <c r="G191" s="57" t="str">
        <f t="shared" si="37"/>
        <v>Baby boomer</v>
      </c>
      <c r="H191" s="63">
        <f t="shared" ca="1" si="38"/>
        <v>61.755555555555553</v>
      </c>
      <c r="I191" s="64" t="str">
        <f ca="1">VLOOKUP(H191,Gen!$C$3:$D$10,2)</f>
        <v>61 - 69</v>
      </c>
    </row>
  </sheetData>
  <mergeCells count="12">
    <mergeCell ref="B89:D89"/>
    <mergeCell ref="Q16:R16"/>
    <mergeCell ref="Y2:AB2"/>
    <mergeCell ref="B1:C1"/>
    <mergeCell ref="B34:D34"/>
    <mergeCell ref="E34:F34"/>
    <mergeCell ref="H76:I76"/>
    <mergeCell ref="B51:C51"/>
    <mergeCell ref="D68:F68"/>
    <mergeCell ref="I49:K49"/>
    <mergeCell ref="L35:P35"/>
    <mergeCell ref="Q2:S2"/>
  </mergeCells>
  <phoneticPr fontId="6" type="noConversion"/>
  <conditionalFormatting sqref="B77:F8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:D1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1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5:T6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1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M4:M1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N4:N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U4:W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7993-57E2-4AC2-83E1-C58F88D10E91}">
  <dimension ref="C2:G11"/>
  <sheetViews>
    <sheetView workbookViewId="0"/>
  </sheetViews>
  <sheetFormatPr defaultRowHeight="13.75" x14ac:dyDescent="0.3"/>
  <cols>
    <col min="7" max="7" width="11.0703125" bestFit="1" customWidth="1"/>
  </cols>
  <sheetData>
    <row r="2" spans="3:7" x14ac:dyDescent="0.3">
      <c r="D2" s="41" t="s">
        <v>232</v>
      </c>
      <c r="F2" s="41" t="s">
        <v>195</v>
      </c>
      <c r="G2" s="42" t="s">
        <v>196</v>
      </c>
    </row>
    <row r="3" spans="3:7" x14ac:dyDescent="0.3">
      <c r="C3">
        <v>18</v>
      </c>
      <c r="D3" t="str">
        <f>C3&amp;" - "&amp;C4-1</f>
        <v>18 - 25</v>
      </c>
      <c r="F3">
        <v>1923</v>
      </c>
      <c r="G3" t="s">
        <v>197</v>
      </c>
    </row>
    <row r="4" spans="3:7" x14ac:dyDescent="0.3">
      <c r="C4">
        <v>26</v>
      </c>
      <c r="D4" t="str">
        <f t="shared" ref="D4:D10" si="0">C4&amp;" - "&amp;C5-1</f>
        <v>26 - 30</v>
      </c>
      <c r="F4">
        <v>1946</v>
      </c>
      <c r="G4" t="s">
        <v>198</v>
      </c>
    </row>
    <row r="5" spans="3:7" x14ac:dyDescent="0.3">
      <c r="C5">
        <v>31</v>
      </c>
      <c r="D5" t="str">
        <f t="shared" si="0"/>
        <v>31 - 40</v>
      </c>
      <c r="F5">
        <v>1965</v>
      </c>
      <c r="G5" t="s">
        <v>96</v>
      </c>
    </row>
    <row r="6" spans="3:7" x14ac:dyDescent="0.3">
      <c r="C6">
        <v>41</v>
      </c>
      <c r="D6" t="str">
        <f t="shared" si="0"/>
        <v>41 - 50</v>
      </c>
      <c r="F6">
        <v>1980</v>
      </c>
      <c r="G6" t="s">
        <v>102</v>
      </c>
    </row>
    <row r="7" spans="3:7" x14ac:dyDescent="0.3">
      <c r="C7">
        <v>51</v>
      </c>
      <c r="D7" t="str">
        <f t="shared" si="0"/>
        <v>51 - 55</v>
      </c>
      <c r="F7">
        <v>1996</v>
      </c>
      <c r="G7" t="s">
        <v>71</v>
      </c>
    </row>
    <row r="8" spans="3:7" x14ac:dyDescent="0.3">
      <c r="C8">
        <v>56</v>
      </c>
      <c r="D8" t="str">
        <f t="shared" si="0"/>
        <v>56 - 60</v>
      </c>
      <c r="F8">
        <v>2011</v>
      </c>
      <c r="G8" t="s">
        <v>199</v>
      </c>
    </row>
    <row r="9" spans="3:7" x14ac:dyDescent="0.3">
      <c r="C9">
        <v>61</v>
      </c>
      <c r="D9" t="str">
        <f t="shared" si="0"/>
        <v>61 - 69</v>
      </c>
      <c r="F9">
        <v>2026</v>
      </c>
      <c r="G9" t="s">
        <v>200</v>
      </c>
    </row>
    <row r="10" spans="3:7" x14ac:dyDescent="0.3">
      <c r="C10">
        <v>70</v>
      </c>
      <c r="D10" t="str">
        <f t="shared" si="0"/>
        <v>70 - 99</v>
      </c>
    </row>
    <row r="11" spans="3:7" x14ac:dyDescent="0.3">
      <c r="C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Sheet1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Bhupha Palasuk</dc:creator>
  <cp:lastModifiedBy>Bhupha Palasuk</cp:lastModifiedBy>
  <dcterms:created xsi:type="dcterms:W3CDTF">2025-10-25T11:47:10Z</dcterms:created>
  <dcterms:modified xsi:type="dcterms:W3CDTF">2026-02-24T07:07:33Z</dcterms:modified>
</cp:coreProperties>
</file>