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xcel_analyst\"/>
    </mc:Choice>
  </mc:AlternateContent>
  <xr:revisionPtr revIDLastSave="0" documentId="13_ncr:1_{A1EAA132-08A1-4DFE-8437-1E05BE1CB6E2}" xr6:coauthVersionLast="47" xr6:coauthVersionMax="47" xr10:uidLastSave="{00000000-0000-0000-0000-000000000000}"/>
  <bookViews>
    <workbookView xWindow="-103" yWindow="-103" windowWidth="24892" windowHeight="14914" activeTab="4" xr2:uid="{AF852D1C-6EF1-4484-BEFA-A819C970DAE6}"/>
  </bookViews>
  <sheets>
    <sheet name="9EXPERT-VLOOKUP(9EXPERT ORDERS)" sheetId="4" r:id="rId1"/>
    <sheet name="(CUSTOMERS)" sheetId="2" r:id="rId2"/>
    <sheet name="(PRODUCTS)" sheetId="3" r:id="rId3"/>
    <sheet name="Sheet1" sheetId="1" r:id="rId4"/>
    <sheet name="Sheet2" sheetId="5" r:id="rId5"/>
  </sheets>
  <definedNames>
    <definedName name="ExternalData_1" localSheetId="1" hidden="1">'(CUSTOMERS)'!$A$1:$G$99</definedName>
    <definedName name="ExternalData_1" localSheetId="2" hidden="1">'(PRODUCTS)'!$A$1:$H$78</definedName>
    <definedName name="ExternalData_1" localSheetId="0" hidden="1">'9EXPERT-VLOOKUP(9EXPERT ORDERS)'!$A$1:$L$29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4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DD72A7-367E-4D91-91BF-E893A112F071}" keepAlive="1" name="Query - 9EXPERT-VLOOKUP(9EXPERT ORDERS)" description="Connection to the '9EXPERT-VLOOKUP(9EXPERT ORDERS)' query in the workbook." type="5" refreshedVersion="8" background="1" saveData="1">
    <dbPr connection="Provider=Microsoft.Mashup.OleDb.1;Data Source=$Workbook$;Location=&quot;9EXPERT-VLOOKUP(9EXPERT ORDERS)&quot;;Extended Properties=&quot;&quot;" command="SELECT * FROM [9EXPERT-VLOOKUP(9EXPERT ORDERS)]"/>
  </connection>
  <connection id="2" xr16:uid="{FF5CF813-C9D9-4A21-9595-99C2755DE7AE}" keepAlive="1" name="Query - 9EXPERT-VLOOKUP(CUSTOMERS)" description="Connection to the '9EXPERT-VLOOKUP(CUSTOMERS)' query in the workbook." type="5" refreshedVersion="8" background="1" saveData="1">
    <dbPr connection="Provider=Microsoft.Mashup.OleDb.1;Data Source=$Workbook$;Location=9EXPERT-VLOOKUP(CUSTOMERS);Extended Properties=&quot;&quot;" command="SELECT * FROM [9EXPERT-VLOOKUP(CUSTOMERS)]"/>
  </connection>
  <connection id="3" xr16:uid="{A89207B5-E5BC-47B2-B58E-47AB9C76F708}" keepAlive="1" name="Query - 9EXPERT-VLOOKUP(PRODUCTS)" description="Connection to the '9EXPERT-VLOOKUP(PRODUCTS)' query in the workbook." type="5" refreshedVersion="8" background="1" saveData="1">
    <dbPr connection="Provider=Microsoft.Mashup.OleDb.1;Data Source=$Workbook$;Location=9EXPERT-VLOOKUP(PRODUCTS);Extended Properties=&quot;&quot;" command="SELECT * FROM [9EXPERT-VLOOKUP(PRODUCTS)]"/>
  </connection>
</connections>
</file>

<file path=xl/sharedStrings.xml><?xml version="1.0" encoding="utf-8"?>
<sst xmlns="http://schemas.openxmlformats.org/spreadsheetml/2006/main" count="970" uniqueCount="705">
  <si>
    <t>Column1</t>
  </si>
  <si>
    <t>Column2</t>
  </si>
  <si>
    <t>Column3</t>
  </si>
  <si>
    <t>Column4</t>
  </si>
  <si>
    <t>Column5</t>
  </si>
  <si>
    <t>Column6</t>
  </si>
  <si>
    <t>Column7</t>
  </si>
  <si>
    <t>CustomerID</t>
  </si>
  <si>
    <t>CompanyName</t>
  </si>
  <si>
    <t>ContactName</t>
  </si>
  <si>
    <t>ContactTitle</t>
  </si>
  <si>
    <t>City</t>
  </si>
  <si>
    <t>Country</t>
  </si>
  <si>
    <t>Phone</t>
  </si>
  <si>
    <t>9EXPERT</t>
  </si>
  <si>
    <t>9Expert Co., Ltd.</t>
  </si>
  <si>
    <t xml:space="preserve">Natnaree </t>
  </si>
  <si>
    <t>Sales Representative</t>
  </si>
  <si>
    <t>Ratchatawi</t>
  </si>
  <si>
    <t>Thailand</t>
  </si>
  <si>
    <t>022194304</t>
  </si>
  <si>
    <t>ANATR</t>
  </si>
  <si>
    <t>Ana Trujillo Emparedados y helados</t>
  </si>
  <si>
    <t>Ana Trujillo</t>
  </si>
  <si>
    <t>Owner</t>
  </si>
  <si>
    <t>M้xico D.F.</t>
  </si>
  <si>
    <t>Mexico</t>
  </si>
  <si>
    <t>(5) 555-4729</t>
  </si>
  <si>
    <t>ANTON</t>
  </si>
  <si>
    <t>Antonio Moreno Taquerํa</t>
  </si>
  <si>
    <t>Antonio Moreno</t>
  </si>
  <si>
    <t>(5) 555-3932</t>
  </si>
  <si>
    <t>AROUT</t>
  </si>
  <si>
    <t>Around the Horn</t>
  </si>
  <si>
    <t>Thomas Hardy</t>
  </si>
  <si>
    <t>London</t>
  </si>
  <si>
    <t>UK</t>
  </si>
  <si>
    <t>(171) 555-7788</t>
  </si>
  <si>
    <t>ASIAS</t>
  </si>
  <si>
    <t>Asian Seafoods PLC.</t>
  </si>
  <si>
    <t>Sirirat Sriwarunyu</t>
  </si>
  <si>
    <t>Sales Manager</t>
  </si>
  <si>
    <t>Nonthaburi</t>
  </si>
  <si>
    <t>(662) 589-2137</t>
  </si>
  <si>
    <t>BERGS</t>
  </si>
  <si>
    <t>Berglunds snabbk๖p</t>
  </si>
  <si>
    <t>Christina Berglund</t>
  </si>
  <si>
    <t>Order Administrator</t>
  </si>
  <si>
    <t>Luleๅ</t>
  </si>
  <si>
    <t>Sweden</t>
  </si>
  <si>
    <t>0921-12 34 65</t>
  </si>
  <si>
    <t>BLAUS</t>
  </si>
  <si>
    <t>Blauer See Delikatessen</t>
  </si>
  <si>
    <t>Hanna Moos</t>
  </si>
  <si>
    <t>Mannheim</t>
  </si>
  <si>
    <t>Germany</t>
  </si>
  <si>
    <t>0621-08460</t>
  </si>
  <si>
    <t>BLONP</t>
  </si>
  <si>
    <t>Blondel p่re et fils</t>
  </si>
  <si>
    <t>Fr้d้rique Citeaux</t>
  </si>
  <si>
    <t>Marketing Manager</t>
  </si>
  <si>
    <t>Strasbourg</t>
  </si>
  <si>
    <t>France</t>
  </si>
  <si>
    <t>88.60.15.31</t>
  </si>
  <si>
    <t>BOLID</t>
  </si>
  <si>
    <t>B๓lido Comidas preparadas</t>
  </si>
  <si>
    <t>Martํn Sommer</t>
  </si>
  <si>
    <t>Madrid</t>
  </si>
  <si>
    <t>Spain</t>
  </si>
  <si>
    <t>(91) 555 22 82</t>
  </si>
  <si>
    <t>BONAP</t>
  </si>
  <si>
    <t>Bon app'</t>
  </si>
  <si>
    <t>Laurence Lebihan</t>
  </si>
  <si>
    <t>Marseille</t>
  </si>
  <si>
    <t>91.24.45.40</t>
  </si>
  <si>
    <t>BOTTM</t>
  </si>
  <si>
    <t>Bottom-Dollar Markets</t>
  </si>
  <si>
    <t>Elizabeth Lincoln</t>
  </si>
  <si>
    <t>Accounting Manager</t>
  </si>
  <si>
    <t>Tsawwassen</t>
  </si>
  <si>
    <t>Canada</t>
  </si>
  <si>
    <t>(604) 555-4729</t>
  </si>
  <si>
    <t>BSBEV</t>
  </si>
  <si>
    <t>B's Beverages</t>
  </si>
  <si>
    <t>Victoria Ashworth</t>
  </si>
  <si>
    <t>(171) 555-1212</t>
  </si>
  <si>
    <t>CACTU</t>
  </si>
  <si>
    <t>Cactus Comidas para llevar</t>
  </si>
  <si>
    <t>Patricio Simpson</t>
  </si>
  <si>
    <t>Sales Agent</t>
  </si>
  <si>
    <t>Buenos Aires</t>
  </si>
  <si>
    <t>Argentina</t>
  </si>
  <si>
    <t>(1) 135-5555</t>
  </si>
  <si>
    <t>CENTC</t>
  </si>
  <si>
    <t>Centro comercial Moctezuma</t>
  </si>
  <si>
    <t>Francisco Chang</t>
  </si>
  <si>
    <t>(5) 555-3392</t>
  </si>
  <si>
    <t>CHIAF</t>
  </si>
  <si>
    <t>Chiangmai Foods PLC.</t>
  </si>
  <si>
    <t>Thitima Arunsawad</t>
  </si>
  <si>
    <t>Bangkok</t>
  </si>
  <si>
    <t>(662) 233-1731</t>
  </si>
  <si>
    <t>CHOPS</t>
  </si>
  <si>
    <t>Chop-suey Chinese</t>
  </si>
  <si>
    <t>Yang Wang</t>
  </si>
  <si>
    <t>Bern</t>
  </si>
  <si>
    <t>Switzerland</t>
  </si>
  <si>
    <t>0452-076545</t>
  </si>
  <si>
    <t>COMMI</t>
  </si>
  <si>
    <t>Com้rcio Mineiro</t>
  </si>
  <si>
    <t>Pedro Afonso</t>
  </si>
  <si>
    <t>Sales Associate</t>
  </si>
  <si>
    <t>Sใo Paulo</t>
  </si>
  <si>
    <t>Brazil</t>
  </si>
  <si>
    <t>(11) 555-7647</t>
  </si>
  <si>
    <t>CONSH</t>
  </si>
  <si>
    <t>Consolidated Holdings</t>
  </si>
  <si>
    <t>Elizabeth Brown</t>
  </si>
  <si>
    <t>(171) 555-2282</t>
  </si>
  <si>
    <t>DRACD</t>
  </si>
  <si>
    <t>Drachenblut Delikatessen</t>
  </si>
  <si>
    <t>Sven Ottlieb</t>
  </si>
  <si>
    <t>Aachen</t>
  </si>
  <si>
    <t>0241-039123</t>
  </si>
  <si>
    <t>DUMON</t>
  </si>
  <si>
    <t>Du monde entier</t>
  </si>
  <si>
    <t>Janine Labrune</t>
  </si>
  <si>
    <t>Nantes</t>
  </si>
  <si>
    <t>40.67.88.88</t>
  </si>
  <si>
    <t>EASTC</t>
  </si>
  <si>
    <t>Eastern Connection</t>
  </si>
  <si>
    <t>Ann Devon</t>
  </si>
  <si>
    <t>(171) 555-0297</t>
  </si>
  <si>
    <t>ERNSH</t>
  </si>
  <si>
    <t>Ernst Handel</t>
  </si>
  <si>
    <t>Roland Mendel</t>
  </si>
  <si>
    <t>Graz</t>
  </si>
  <si>
    <t>Austria</t>
  </si>
  <si>
    <t>7675-3425</t>
  </si>
  <si>
    <t>FAMIA</t>
  </si>
  <si>
    <t>Familia Arquibaldo</t>
  </si>
  <si>
    <t>Aria Cruz</t>
  </si>
  <si>
    <t>Marketing Assistant</t>
  </si>
  <si>
    <t>(11) 555-9857</t>
  </si>
  <si>
    <t>FISSA</t>
  </si>
  <si>
    <t>FISSA Fabrica Inter. Salchichas S.A.</t>
  </si>
  <si>
    <t>Diego Roel</t>
  </si>
  <si>
    <t>(91) 555 94 44</t>
  </si>
  <si>
    <t>FOLIG</t>
  </si>
  <si>
    <t>Folies gourmandes</t>
  </si>
  <si>
    <t>Martine Ranc้</t>
  </si>
  <si>
    <t>Assistant Sales Agent</t>
  </si>
  <si>
    <t>Lille</t>
  </si>
  <si>
    <t>20.16.10.16</t>
  </si>
  <si>
    <t>FOLKO</t>
  </si>
  <si>
    <t>Folk och fไ HB</t>
  </si>
  <si>
    <t>Maria Larsson</t>
  </si>
  <si>
    <t>Brไcke</t>
  </si>
  <si>
    <t>0695-34 67 21</t>
  </si>
  <si>
    <t>FRANK</t>
  </si>
  <si>
    <t>Frankenversand</t>
  </si>
  <si>
    <t>Peter Franken</t>
  </si>
  <si>
    <t>Mnchen</t>
  </si>
  <si>
    <t>089-0877310</t>
  </si>
  <si>
    <t>FRANR</t>
  </si>
  <si>
    <t>France restauration</t>
  </si>
  <si>
    <t>Carine Schmitt</t>
  </si>
  <si>
    <t>40.32.21.21</t>
  </si>
  <si>
    <t>FRANS</t>
  </si>
  <si>
    <t>Franchi S.p.A.</t>
  </si>
  <si>
    <t>Paolo Accorti</t>
  </si>
  <si>
    <t>Torino</t>
  </si>
  <si>
    <t>Italy</t>
  </si>
  <si>
    <t>011-4988260</t>
  </si>
  <si>
    <t>FURIB</t>
  </si>
  <si>
    <t>Furia Bacalhau e Frutos do Mar</t>
  </si>
  <si>
    <t>Lino Rodriguez</t>
  </si>
  <si>
    <t>Lisbon</t>
  </si>
  <si>
    <t>Portugal</t>
  </si>
  <si>
    <t>(1) 354-2534</t>
  </si>
  <si>
    <t>GALED</t>
  </si>
  <si>
    <t>Galerํa del gastr๓nomo</t>
  </si>
  <si>
    <t>Eduardo Saavedra</t>
  </si>
  <si>
    <t>Barcelona</t>
  </si>
  <si>
    <t>(93) 203 4560</t>
  </si>
  <si>
    <t>GODOS</t>
  </si>
  <si>
    <t>Godos Cocina Tํpica</t>
  </si>
  <si>
    <t>Jos้ Pedro Freyre</t>
  </si>
  <si>
    <t>Sevilla</t>
  </si>
  <si>
    <t>(95) 555 82 82</t>
  </si>
  <si>
    <t>GOURL</t>
  </si>
  <si>
    <t>Gourmet Lanchonetes</t>
  </si>
  <si>
    <t>Andr้ Fonseca</t>
  </si>
  <si>
    <t>Campinas</t>
  </si>
  <si>
    <t>(11) 555-9482</t>
  </si>
  <si>
    <t>GREAL</t>
  </si>
  <si>
    <t>Great Lakes Food Market</t>
  </si>
  <si>
    <t>Howard Snyder</t>
  </si>
  <si>
    <t>Eugene</t>
  </si>
  <si>
    <t>USA</t>
  </si>
  <si>
    <t>(503) 555-7555</t>
  </si>
  <si>
    <t>GROSR</t>
  </si>
  <si>
    <t>GROSELLA-Restaurante</t>
  </si>
  <si>
    <t>Manuel Pereira</t>
  </si>
  <si>
    <t>Caracas</t>
  </si>
  <si>
    <t>Venezuela</t>
  </si>
  <si>
    <t>(2) 283-2951</t>
  </si>
  <si>
    <t>HANAR</t>
  </si>
  <si>
    <t>Hanari Carnes</t>
  </si>
  <si>
    <t>Mario Pontes</t>
  </si>
  <si>
    <t>Rio de Janeiro</t>
  </si>
  <si>
    <t>(21) 555-0091</t>
  </si>
  <si>
    <t>HILAA</t>
  </si>
  <si>
    <t>HILARIำN-Abastos</t>
  </si>
  <si>
    <t>Carlos Hernแndez</t>
  </si>
  <si>
    <t>San Crist๓bal (Venezuela)</t>
  </si>
  <si>
    <t>(5) 555-1340</t>
  </si>
  <si>
    <t>HUNGC</t>
  </si>
  <si>
    <t>Hungry Coyote Import Store</t>
  </si>
  <si>
    <t>Yoshi Latimer</t>
  </si>
  <si>
    <t>Elgin</t>
  </si>
  <si>
    <t>(503) 555-6874</t>
  </si>
  <si>
    <t>HUNGO</t>
  </si>
  <si>
    <t>Hungry Owl All-Night Grocers</t>
  </si>
  <si>
    <t>Patricia McKenna</t>
  </si>
  <si>
    <t>Cork</t>
  </si>
  <si>
    <t>Ireland</t>
  </si>
  <si>
    <t>2967 542</t>
  </si>
  <si>
    <t>ISLAT</t>
  </si>
  <si>
    <t>Island Trading</t>
  </si>
  <si>
    <t>Helen Bennett</t>
  </si>
  <si>
    <t>Cowes</t>
  </si>
  <si>
    <t>(198) 555-8888</t>
  </si>
  <si>
    <t>KOENE</t>
  </si>
  <si>
    <t>K๖niglich Essen</t>
  </si>
  <si>
    <t>Philip Cramer</t>
  </si>
  <si>
    <t>Brandenburg</t>
  </si>
  <si>
    <t>0555-09876</t>
  </si>
  <si>
    <t>LACOR</t>
  </si>
  <si>
    <t>La corne d'abondance</t>
  </si>
  <si>
    <t>Daniel Tonini</t>
  </si>
  <si>
    <t>Versailles</t>
  </si>
  <si>
    <t>30.59.84.10</t>
  </si>
  <si>
    <t>LAMAI</t>
  </si>
  <si>
    <t>La maison d'Asie</t>
  </si>
  <si>
    <t>Annette Roulet</t>
  </si>
  <si>
    <t>Toulouse</t>
  </si>
  <si>
    <t>61.77.61.10</t>
  </si>
  <si>
    <t>LAUGB</t>
  </si>
  <si>
    <t>Laughing Bacchus Wine Cellars</t>
  </si>
  <si>
    <t>Yoshi Tannamuri</t>
  </si>
  <si>
    <t>Vancouver</t>
  </si>
  <si>
    <t>(604) 555-3392</t>
  </si>
  <si>
    <t>LAZYK</t>
  </si>
  <si>
    <t>Lazy K Kountry Store</t>
  </si>
  <si>
    <t>John Steel</t>
  </si>
  <si>
    <t>Walla Walla</t>
  </si>
  <si>
    <t>(509) 555-7969</t>
  </si>
  <si>
    <t>LEHMS</t>
  </si>
  <si>
    <t>Lehmanns Marktstand</t>
  </si>
  <si>
    <t>Renate Messner</t>
  </si>
  <si>
    <t>Frankfurt</t>
  </si>
  <si>
    <t>069-0245984</t>
  </si>
  <si>
    <t>LETSS</t>
  </si>
  <si>
    <t>Let's Stop N Shop</t>
  </si>
  <si>
    <t>Jaime Yorres</t>
  </si>
  <si>
    <t>San Francisco</t>
  </si>
  <si>
    <t>(415) 555-5938</t>
  </si>
  <si>
    <t>LILAS</t>
  </si>
  <si>
    <t>LILA-Supermercado</t>
  </si>
  <si>
    <t>Carlos Gonzแlez</t>
  </si>
  <si>
    <t>Barquisimeto</t>
  </si>
  <si>
    <t>(9) 331-6954</t>
  </si>
  <si>
    <t>LINOD</t>
  </si>
  <si>
    <t>LINO-Delicateses</t>
  </si>
  <si>
    <t>Felipe Izquierdo</t>
  </si>
  <si>
    <t>Porlamar</t>
  </si>
  <si>
    <t>(8) 34-56-12</t>
  </si>
  <si>
    <t>LONEP</t>
  </si>
  <si>
    <t>Lonesome Pine Restaurant</t>
  </si>
  <si>
    <t>Fran Wilson</t>
  </si>
  <si>
    <t>Portland</t>
  </si>
  <si>
    <t>(503) 555-9573</t>
  </si>
  <si>
    <t>MAGAA</t>
  </si>
  <si>
    <t>Magazzini Alimentari Riuniti</t>
  </si>
  <si>
    <t>Giovanni Rovelli</t>
  </si>
  <si>
    <t>Bergamo</t>
  </si>
  <si>
    <t>035-640230</t>
  </si>
  <si>
    <t>MAISD</t>
  </si>
  <si>
    <t>Maison Dewey</t>
  </si>
  <si>
    <t>Catherine Dewey</t>
  </si>
  <si>
    <t>Bruxelles</t>
  </si>
  <si>
    <t>Belgium</t>
  </si>
  <si>
    <t>(02) 201 24 67</t>
  </si>
  <si>
    <t>MEREP</t>
  </si>
  <si>
    <t>M่re Paillarde</t>
  </si>
  <si>
    <t>Jean Fresni่re</t>
  </si>
  <si>
    <t>Montr้al</t>
  </si>
  <si>
    <t>(514) 555-8054</t>
  </si>
  <si>
    <t>MORGK</t>
  </si>
  <si>
    <t>Morgenstern Gesundkost</t>
  </si>
  <si>
    <t>Alexander Feuer</t>
  </si>
  <si>
    <t>Leipzig</t>
  </si>
  <si>
    <t>0342-023176</t>
  </si>
  <si>
    <t>NORTS</t>
  </si>
  <si>
    <t>North/South</t>
  </si>
  <si>
    <t>Simon Crowther</t>
  </si>
  <si>
    <t>(171) 555-7733</t>
  </si>
  <si>
    <t>OCEAN</t>
  </si>
  <si>
    <t>Oc้ano Atlแntico Ltda.</t>
  </si>
  <si>
    <t>Yvonne Moncada</t>
  </si>
  <si>
    <t>(1) 135-5333</t>
  </si>
  <si>
    <t>OLDWO</t>
  </si>
  <si>
    <t>Old World Delicatessen</t>
  </si>
  <si>
    <t>Rene Phillips</t>
  </si>
  <si>
    <t>Anchorage</t>
  </si>
  <si>
    <t>(907) 555-7584</t>
  </si>
  <si>
    <t>OTTIK</t>
  </si>
  <si>
    <t>Ottilies Kไseladen</t>
  </si>
  <si>
    <t>Henriette Pfalzheim</t>
  </si>
  <si>
    <t>K๖ln</t>
  </si>
  <si>
    <t>0221-0644327</t>
  </si>
  <si>
    <t>PARIS</t>
  </si>
  <si>
    <t>Paris sp้cialit้s</t>
  </si>
  <si>
    <t>Marie Bertrand</t>
  </si>
  <si>
    <t>Paris</t>
  </si>
  <si>
    <t>(1) 42.34.22.66</t>
  </si>
  <si>
    <t>PERIC</t>
  </si>
  <si>
    <t>Pericles Comidas clแsicas</t>
  </si>
  <si>
    <t>Guillermo Fernแndez</t>
  </si>
  <si>
    <t>(5) 552-3745</t>
  </si>
  <si>
    <t>PICCO</t>
  </si>
  <si>
    <t>Piccolo und mehr</t>
  </si>
  <si>
    <t>Georg Pipps</t>
  </si>
  <si>
    <t>Salzburg</t>
  </si>
  <si>
    <t>6562-9722</t>
  </si>
  <si>
    <t>PRINI</t>
  </si>
  <si>
    <t>Princesa Isabel Vinhos</t>
  </si>
  <si>
    <t>Isabel de Castro</t>
  </si>
  <si>
    <t>(1) 356-5634</t>
  </si>
  <si>
    <t>QUEDE</t>
  </si>
  <si>
    <t>Que Delํcia</t>
  </si>
  <si>
    <t>Bernardo Batista</t>
  </si>
  <si>
    <t>(21) 555-4252</t>
  </si>
  <si>
    <t>QUEEN</t>
  </si>
  <si>
    <t>Queen Cozinha</t>
  </si>
  <si>
    <t>L๚cia Carvalho</t>
  </si>
  <si>
    <t>(11) 555-1189</t>
  </si>
  <si>
    <t>QUICK</t>
  </si>
  <si>
    <t>QUICK-Stop</t>
  </si>
  <si>
    <t>Horst Kloss</t>
  </si>
  <si>
    <t>Cunewalde</t>
  </si>
  <si>
    <t>0372-035188</t>
  </si>
  <si>
    <t>RANCH</t>
  </si>
  <si>
    <t>Rancho grande</t>
  </si>
  <si>
    <t>Sergio Guti้rrez</t>
  </si>
  <si>
    <t>(1) 123-5555</t>
  </si>
  <si>
    <t>RATTC</t>
  </si>
  <si>
    <t>Rattlesnake Canyon Grocery</t>
  </si>
  <si>
    <t>Paula Wilson</t>
  </si>
  <si>
    <t>Assistant Sales Representative</t>
  </si>
  <si>
    <t>Albuquerque</t>
  </si>
  <si>
    <t>(505) 555-5939</t>
  </si>
  <si>
    <t>REGGC</t>
  </si>
  <si>
    <t>Reggiani Caseifici</t>
  </si>
  <si>
    <t>Maurizio Moroni</t>
  </si>
  <si>
    <t>Reggio Emilia</t>
  </si>
  <si>
    <t>0522-556721</t>
  </si>
  <si>
    <t>RICAR</t>
  </si>
  <si>
    <t>Ricardo Adocicados</t>
  </si>
  <si>
    <t>Janete Limeira</t>
  </si>
  <si>
    <t>(21) 555-3412</t>
  </si>
  <si>
    <t>RICSU</t>
  </si>
  <si>
    <t>Richter Supermarkt</t>
  </si>
  <si>
    <t>Michael Holz</t>
  </si>
  <si>
    <t>Gen่ve</t>
  </si>
  <si>
    <t>0897-034214</t>
  </si>
  <si>
    <t>ROMEY</t>
  </si>
  <si>
    <t>Romero y tomillo</t>
  </si>
  <si>
    <t>Alejandra Camino</t>
  </si>
  <si>
    <t>(91) 745 6200</t>
  </si>
  <si>
    <t>SANTG</t>
  </si>
  <si>
    <t>Sant้ Gourmet</t>
  </si>
  <si>
    <t>Jonas Bergulfsen</t>
  </si>
  <si>
    <t>Stavern (Norway)</t>
  </si>
  <si>
    <t>Norway</t>
  </si>
  <si>
    <t>07-98 92 35</t>
  </si>
  <si>
    <t>SAVEA</t>
  </si>
  <si>
    <t>Save-a-lot Markets</t>
  </si>
  <si>
    <t>Jose Pavarotti</t>
  </si>
  <si>
    <t>Boise</t>
  </si>
  <si>
    <t>(208) 555-8097</t>
  </si>
  <si>
    <t>SEAFI</t>
  </si>
  <si>
    <t>Seafresh Industry (Thailand) PLC.</t>
  </si>
  <si>
    <t>Kobchai Darawan</t>
  </si>
  <si>
    <t>Chonburi</t>
  </si>
  <si>
    <t>(6638) 765-275</t>
  </si>
  <si>
    <t>SEVES</t>
  </si>
  <si>
    <t>Seven Seas Imports</t>
  </si>
  <si>
    <t>Hari Kumar</t>
  </si>
  <si>
    <t>(171) 555-1717</t>
  </si>
  <si>
    <t>SIMOB</t>
  </si>
  <si>
    <t>Simons bistro</t>
  </si>
  <si>
    <t>Jytte Petersen</t>
  </si>
  <si>
    <t>K๘benhavn</t>
  </si>
  <si>
    <t>Denmark</t>
  </si>
  <si>
    <t>31 12 34 56</t>
  </si>
  <si>
    <t>SPECD</t>
  </si>
  <si>
    <t>Sp้cialit้s du monde</t>
  </si>
  <si>
    <t>Dominique Perrier</t>
  </si>
  <si>
    <t>(1) 47.55.60.10</t>
  </si>
  <si>
    <t>SPLIR</t>
  </si>
  <si>
    <t>Split Rail Beer &amp; Ale</t>
  </si>
  <si>
    <t>Art Braunschweiger</t>
  </si>
  <si>
    <t>Lander</t>
  </si>
  <si>
    <t>(307) 555-4680</t>
  </si>
  <si>
    <t>SUPRD</t>
  </si>
  <si>
    <t>Supr๊mes d้lices</t>
  </si>
  <si>
    <t>Pascale Cartrain</t>
  </si>
  <si>
    <t>Charleroi</t>
  </si>
  <si>
    <t>(071) 23 67 22 20</t>
  </si>
  <si>
    <t>THAIP</t>
  </si>
  <si>
    <t>Thai President Foods PLC.</t>
  </si>
  <si>
    <t>Sombat Palathai</t>
  </si>
  <si>
    <t>(6638) 480-502</t>
  </si>
  <si>
    <t>THAIU</t>
  </si>
  <si>
    <t>Thai Union Group PLC.</t>
  </si>
  <si>
    <t>Pranee Panyawat</t>
  </si>
  <si>
    <t>Samutsakorn</t>
  </si>
  <si>
    <t>(6634) 816-500</t>
  </si>
  <si>
    <t>THEBI</t>
  </si>
  <si>
    <t>The Big Cheese</t>
  </si>
  <si>
    <t>Liz Nixon</t>
  </si>
  <si>
    <t>(503) 555-3612</t>
  </si>
  <si>
    <t>THECR</t>
  </si>
  <si>
    <t>The Cracker Box</t>
  </si>
  <si>
    <t>Liu Wong</t>
  </si>
  <si>
    <t>Butte</t>
  </si>
  <si>
    <t>(406) 555-5834</t>
  </si>
  <si>
    <t>TOMSP</t>
  </si>
  <si>
    <t>Toms Spezialitไten</t>
  </si>
  <si>
    <t>Karin Josephs</t>
  </si>
  <si>
    <t>Mnster</t>
  </si>
  <si>
    <t>0251-031259</t>
  </si>
  <si>
    <t>TORTU</t>
  </si>
  <si>
    <t>Tortuga Restaurante</t>
  </si>
  <si>
    <t>Miguel Angel Paolino</t>
  </si>
  <si>
    <t>(5) 555-2933</t>
  </si>
  <si>
    <t>TRADH</t>
  </si>
  <si>
    <t>Tradi็ใo Hipermercados</t>
  </si>
  <si>
    <t>Anabela Domingues</t>
  </si>
  <si>
    <t>(11) 555-2167</t>
  </si>
  <si>
    <t>TRAIH</t>
  </si>
  <si>
    <t>Trail's Head Gourmet Provisioners</t>
  </si>
  <si>
    <t>Helvetius Nagy</t>
  </si>
  <si>
    <t>Kirkland</t>
  </si>
  <si>
    <t>(206) 555-8257</t>
  </si>
  <si>
    <t>VAFFE</t>
  </si>
  <si>
    <t>Vaffeljernet</t>
  </si>
  <si>
    <t>Palle Ibsen</t>
  </si>
  <si>
    <t>ลrhus</t>
  </si>
  <si>
    <t>86 21 32 43</t>
  </si>
  <si>
    <t>VICTE</t>
  </si>
  <si>
    <t>Victuailles en stock</t>
  </si>
  <si>
    <t>Mary Saveley</t>
  </si>
  <si>
    <t>Lyon</t>
  </si>
  <si>
    <t>78.32.54.86</t>
  </si>
  <si>
    <t>VINET</t>
  </si>
  <si>
    <t>Vins et alcools Chevalier</t>
  </si>
  <si>
    <t>Paul Henriot</t>
  </si>
  <si>
    <t>Reims</t>
  </si>
  <si>
    <t>26.47.15.10</t>
  </si>
  <si>
    <t>WANDK</t>
  </si>
  <si>
    <t>Die Wandernde Kuh</t>
  </si>
  <si>
    <t>Rita Mller</t>
  </si>
  <si>
    <t>Stuttgart</t>
  </si>
  <si>
    <t>0711-020361</t>
  </si>
  <si>
    <t>WARTH</t>
  </si>
  <si>
    <t>Wartian Herkku</t>
  </si>
  <si>
    <t>Pirkko Koskitalo</t>
  </si>
  <si>
    <t>Oulu</t>
  </si>
  <si>
    <t>Finland</t>
  </si>
  <si>
    <t>981-443655</t>
  </si>
  <si>
    <t>WELLI</t>
  </si>
  <si>
    <t>Wellington Importadora</t>
  </si>
  <si>
    <t>Paula Parente</t>
  </si>
  <si>
    <t>Resende</t>
  </si>
  <si>
    <t>(14) 555-8122</t>
  </si>
  <si>
    <t>WHITC</t>
  </si>
  <si>
    <t>White Clover Markets</t>
  </si>
  <si>
    <t>Karl Jablonski</t>
  </si>
  <si>
    <t>Seattle</t>
  </si>
  <si>
    <t>(206) 555-4112</t>
  </si>
  <si>
    <t>WILMK</t>
  </si>
  <si>
    <t>Wilman Kala</t>
  </si>
  <si>
    <t>Matti Karttunen</t>
  </si>
  <si>
    <t>Owner/Marketing Assistant</t>
  </si>
  <si>
    <t>Helsinki</t>
  </si>
  <si>
    <t>90-224 8858</t>
  </si>
  <si>
    <t>WOLZA</t>
  </si>
  <si>
    <t>Wolski  Zajazd</t>
  </si>
  <si>
    <t>Zbyszek Piestrzeniewicz</t>
  </si>
  <si>
    <t>Warszawa</t>
  </si>
  <si>
    <t>Poland</t>
  </si>
  <si>
    <t>(26) 642-7012</t>
  </si>
  <si>
    <t>YANWA</t>
  </si>
  <si>
    <t>Yan Wal Yun</t>
  </si>
  <si>
    <t>Chaiyong Jitthai</t>
  </si>
  <si>
    <t>Rayong</t>
  </si>
  <si>
    <t>(6638) 650-229</t>
  </si>
  <si>
    <t>Product Code</t>
  </si>
  <si>
    <t>Product</t>
  </si>
  <si>
    <t>SupplierID</t>
  </si>
  <si>
    <t>Cost</t>
  </si>
  <si>
    <t>UnitPrice</t>
  </si>
  <si>
    <t>UnitsInStock</t>
  </si>
  <si>
    <t>ReorderLevel</t>
  </si>
  <si>
    <t>Discontinued</t>
  </si>
  <si>
    <t>1-101</t>
  </si>
  <si>
    <t>Chai</t>
  </si>
  <si>
    <t>1-105</t>
  </si>
  <si>
    <t>Chang</t>
  </si>
  <si>
    <t>1-106</t>
  </si>
  <si>
    <t>Guaran Fantastica</t>
  </si>
  <si>
    <t>1-108</t>
  </si>
  <si>
    <t>Lakkalikri</t>
  </si>
  <si>
    <t>1-121</t>
  </si>
  <si>
    <t>Rhnbru Klosterbier</t>
  </si>
  <si>
    <t>1-129</t>
  </si>
  <si>
    <t>Outback Lager</t>
  </si>
  <si>
    <t>1-132</t>
  </si>
  <si>
    <t>Laughing Lumberjack Lager</t>
  </si>
  <si>
    <t>1-136</t>
  </si>
  <si>
    <t>C๔tes de Blaye</t>
  </si>
  <si>
    <t>1-140</t>
  </si>
  <si>
    <t>Sasquatch Ale</t>
  </si>
  <si>
    <t>1-189</t>
  </si>
  <si>
    <t>Steeleye Stout</t>
  </si>
  <si>
    <t>1-190</t>
  </si>
  <si>
    <t>Ipoh Coffee</t>
  </si>
  <si>
    <t>1-196</t>
  </si>
  <si>
    <t>Chartreuse verte</t>
  </si>
  <si>
    <t>2-101</t>
  </si>
  <si>
    <t>Northwoods Cranberry Sauce</t>
  </si>
  <si>
    <t>2-102</t>
  </si>
  <si>
    <t>Sirop d'rable</t>
  </si>
  <si>
    <t>2-112</t>
  </si>
  <si>
    <t>Louisiana Hot Spiced Okra</t>
  </si>
  <si>
    <t>2-113</t>
  </si>
  <si>
    <t>Aniseed Syrup</t>
  </si>
  <si>
    <t>2-125</t>
  </si>
  <si>
    <t>Louisiana Fiery Hot Pepper Sauce</t>
  </si>
  <si>
    <t>2-134</t>
  </si>
  <si>
    <t>Chef Anton's Cajun Seasoning</t>
  </si>
  <si>
    <t>2-147</t>
  </si>
  <si>
    <t>Vegie-spread</t>
  </si>
  <si>
    <t>2-148</t>
  </si>
  <si>
    <t>Chef Anton's Gumbo Mix</t>
  </si>
  <si>
    <t>2-152</t>
  </si>
  <si>
    <t>Genen Shouyu</t>
  </si>
  <si>
    <t>2-165</t>
  </si>
  <si>
    <t>Grandma's Boysenberry Spread</t>
  </si>
  <si>
    <t>2-191</t>
  </si>
  <si>
    <t>Gula Malacca</t>
  </si>
  <si>
    <t>2-199</t>
  </si>
  <si>
    <t>Original Frankfurter grne Soe</t>
  </si>
  <si>
    <t>3-101</t>
  </si>
  <si>
    <t>Pavlova</t>
  </si>
  <si>
    <t>3-105</t>
  </si>
  <si>
    <t>Zaanse koeken</t>
  </si>
  <si>
    <t>3-120</t>
  </si>
  <si>
    <t>Chocolade</t>
  </si>
  <si>
    <t>3-122</t>
  </si>
  <si>
    <t>NuNuCa Nu-Nougat-Creme</t>
  </si>
  <si>
    <t>3-123</t>
  </si>
  <si>
    <t>Maxilaku</t>
  </si>
  <si>
    <t>3-127</t>
  </si>
  <si>
    <t>Sir Rodney's Scones</t>
  </si>
  <si>
    <t>3-132</t>
  </si>
  <si>
    <t>Valkoinen suklaa</t>
  </si>
  <si>
    <t>3-169</t>
  </si>
  <si>
    <t>Scottish Longbreads</t>
  </si>
  <si>
    <t>3-173</t>
  </si>
  <si>
    <t>Tarte au sucre</t>
  </si>
  <si>
    <t>3-176</t>
  </si>
  <si>
    <t>Gumbr Gummibrchen</t>
  </si>
  <si>
    <t>3-184</t>
  </si>
  <si>
    <t>Schoggi Schokolade</t>
  </si>
  <si>
    <t>3-196</t>
  </si>
  <si>
    <t>Teatime Chocolate Biscuits</t>
  </si>
  <si>
    <t>3-199</t>
  </si>
  <si>
    <t>Sir Rodney's Marmalade</t>
  </si>
  <si>
    <t>4-101</t>
  </si>
  <si>
    <t>Queso Manchego La Pastora</t>
  </si>
  <si>
    <t>4-113</t>
  </si>
  <si>
    <t>Fltemysost</t>
  </si>
  <si>
    <t>4-121</t>
  </si>
  <si>
    <t>Gorgonzola Telino</t>
  </si>
  <si>
    <t>4-123</t>
  </si>
  <si>
    <t>9EXPERT PRODUCT</t>
  </si>
  <si>
    <t>4-124</t>
  </si>
  <si>
    <t>Camembert Pierrot</t>
  </si>
  <si>
    <t>4-125</t>
  </si>
  <si>
    <t>Geitost</t>
  </si>
  <si>
    <t>4-133</t>
  </si>
  <si>
    <t>Raclette Courdavault</t>
  </si>
  <si>
    <t>4-138</t>
  </si>
  <si>
    <t>Mascarpone Fabioli</t>
  </si>
  <si>
    <t>4-168</t>
  </si>
  <si>
    <t>Mozzarella di Giovanni</t>
  </si>
  <si>
    <t>4-199</t>
  </si>
  <si>
    <t>Gudbrandsdalsost</t>
  </si>
  <si>
    <t>5-102</t>
  </si>
  <si>
    <t>Ravioli Angelo</t>
  </si>
  <si>
    <t>5-105</t>
  </si>
  <si>
    <t>Gustaf's Knckebrd</t>
  </si>
  <si>
    <t>5-129</t>
  </si>
  <si>
    <t>Wimmers gute Semmelkndel</t>
  </si>
  <si>
    <t>5-150</t>
  </si>
  <si>
    <t>Gnocchi di nonna Alice</t>
  </si>
  <si>
    <t>5-159</t>
  </si>
  <si>
    <t>Singaporean Hokkien Fried</t>
  </si>
  <si>
    <t>5-174</t>
  </si>
  <si>
    <t>Filo Mix</t>
  </si>
  <si>
    <t>5-186</t>
  </si>
  <si>
    <t>Tunnbrd</t>
  </si>
  <si>
    <t>6-110</t>
  </si>
  <si>
    <t>Perth Pasties</t>
  </si>
  <si>
    <t>6-152</t>
  </si>
  <si>
    <t>Pt chinois</t>
  </si>
  <si>
    <t>6-166</t>
  </si>
  <si>
    <t>Tourtire</t>
  </si>
  <si>
    <t>6-174</t>
  </si>
  <si>
    <t>Mishi Kobe Niku</t>
  </si>
  <si>
    <t>6-196</t>
  </si>
  <si>
    <t>Thringer Rostbratwurst</t>
  </si>
  <si>
    <t>6-197</t>
  </si>
  <si>
    <t>Alice Mutton</t>
  </si>
  <si>
    <t>7-100</t>
  </si>
  <si>
    <t>Longlife Tofu</t>
  </si>
  <si>
    <t>7-125</t>
  </si>
  <si>
    <t>Tofu</t>
  </si>
  <si>
    <t>7-149</t>
  </si>
  <si>
    <t>Rssle Sauerkraut</t>
  </si>
  <si>
    <t>7-159</t>
  </si>
  <si>
    <t>Manjimup Dried Apples</t>
  </si>
  <si>
    <t>7-182</t>
  </si>
  <si>
    <t>Uncle Bob's Organic Dried Pears</t>
  </si>
  <si>
    <t>8-101</t>
  </si>
  <si>
    <t>Ikura</t>
  </si>
  <si>
    <t>8-105</t>
  </si>
  <si>
    <t>Gravad lax</t>
  </si>
  <si>
    <t>8-120</t>
  </si>
  <si>
    <t>Inlagd Sill</t>
  </si>
  <si>
    <t>8-129</t>
  </si>
  <si>
    <t>Carnarvon Tigers</t>
  </si>
  <si>
    <t>8-130</t>
  </si>
  <si>
    <t>Rgede sild</t>
  </si>
  <si>
    <t>8-141</t>
  </si>
  <si>
    <t xml:space="preserve">Jack's New England Clam </t>
  </si>
  <si>
    <t>8-159</t>
  </si>
  <si>
    <t>Boston Crab Meat</t>
  </si>
  <si>
    <t>8-162</t>
  </si>
  <si>
    <t>Nord-Ost Matjeshering</t>
  </si>
  <si>
    <t>8-173</t>
  </si>
  <si>
    <t>Konbu</t>
  </si>
  <si>
    <t>8-176</t>
  </si>
  <si>
    <t>Escargots de Bourgogne</t>
  </si>
  <si>
    <t>8-185</t>
  </si>
  <si>
    <t>Rd Kaviar</t>
  </si>
  <si>
    <t>8-194</t>
  </si>
  <si>
    <t>Spegesild</t>
  </si>
  <si>
    <t>OrderID</t>
  </si>
  <si>
    <t>OrderDate</t>
  </si>
  <si>
    <t>Customer</t>
  </si>
  <si>
    <t>ProductID</t>
  </si>
  <si>
    <t>UnitInStocks</t>
  </si>
  <si>
    <t>Quantity</t>
  </si>
  <si>
    <t>Discount</t>
  </si>
  <si>
    <t>1/1/2023</t>
  </si>
  <si>
    <t>1/2/2023</t>
  </si>
  <si>
    <t>1/5/2023</t>
  </si>
  <si>
    <t>1/6/2023</t>
  </si>
  <si>
    <t>1/7/2023</t>
  </si>
  <si>
    <t>1/8/2023</t>
  </si>
  <si>
    <t>1/9/2023</t>
  </si>
  <si>
    <t>10EXPERT</t>
  </si>
  <si>
    <t>4-112345</t>
  </si>
  <si>
    <t>Jan</t>
  </si>
  <si>
    <t>Fed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</si>
  <si>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</si>
  <si>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</si>
  <si>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</si>
  <si>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</si>
  <si>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</si>
  <si>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</si>
  <si>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</si>
  <si>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</si>
  <si>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</si>
  <si>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</si>
  <si>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Revenue</t>
  </si>
  <si>
    <t>Dashboard</t>
  </si>
  <si>
    <t>เดือน</t>
  </si>
  <si>
    <t>รายได้</t>
  </si>
  <si>
    <t>รายจ่าย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</si>
</sst>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94" formatCode="_-* #,##0_-;\-* #,##0_-;_-* &quot;-&quot;??_-;_-@_-"/>
  </numFmts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26"/>
      <color theme="1"/>
      <name val="Tahoma"/>
      <family val="2"/>
      <charset val="22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194" fontId="0" fillId="0" borderId="0" xfId="1" applyNumberFormat="1" applyFont="1"/>
    <xf numFmtId="0" fontId="0" fillId="7" borderId="0" xfId="0" applyFill="1"/>
    <xf numFmtId="0" fontId="0" fillId="8" borderId="0" xfId="0" applyFill="1"/>
    <xf numFmtId="0" fontId="2" fillId="0" borderId="0" xfId="0" applyFont="1"/>
    <xf numFmtId="0" fontId="0" fillId="6" borderId="0" xfId="0" applyFill="1"/>
  </cellXfs>
  <cellStyles count="2">
    <cellStyle name="Comma" xfId="1" builtinId="3"/>
    <cellStyle name="Normal" xfId="0" builtinId="0"/>
  </cellStyles>
  <dxfs count="16"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Sheet2!$A$4</c:f>
              <c:strCache>
                <c:ptCount val="1"/>
                <c:pt idx="0">
                  <c:v>รายได้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Sheet2!$B$3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Sheet2!$B$4</c:f>
              <c:numCache>
                <c:formatCode>_-* #,##0_-;\-* #,##0_-;_-* "-"??_-;_-@_-</c:formatCode>
                <c:ptCount val="1"/>
                <c:pt idx="0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2-45F9-9C0C-A05135C76CF2}"/>
            </c:ext>
          </c:extLst>
        </c:ser>
        <c:ser>
          <c:idx val="1"/>
          <c:order val="1"/>
          <c:tx>
            <c:strRef>
              <c:f>Sheet2!$A$5</c:f>
              <c:strCache>
                <c:ptCount val="1"/>
                <c:pt idx="0">
                  <c:v>รายจ่าย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Sheet2!$B$3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Sheet2!$B$5</c:f>
              <c:numCache>
                <c:formatCode>_-* #,##0_-;\-* #,##0_-;_-* "-"??_-;_-@_-</c:formatCode>
                <c:ptCount val="1"/>
                <c:pt idx="0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2-45F9-9C0C-A05135C76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368512"/>
        <c:axId val="670374272"/>
      </c:barChart>
      <c:catAx>
        <c:axId val="67036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70374272"/>
        <c:crosses val="autoZero"/>
        <c:auto val="1"/>
        <c:lblAlgn val="ctr"/>
        <c:lblOffset val="100"/>
        <c:noMultiLvlLbl val="0"/>
      </c:catAx>
      <c:valAx>
        <c:axId val="67037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7036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</xdr:colOff>
      <xdr:row>1</xdr:row>
      <xdr:rowOff>10885</xdr:rowOff>
    </xdr:from>
    <xdr:to>
      <xdr:col>6</xdr:col>
      <xdr:colOff>560614</xdr:colOff>
      <xdr:row>12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A2CE7-1CB4-89AF-23AD-F5223F823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BC2996-00BE-48A2-8703-C52259C9B969}" autoFormatId="16" applyNumberFormats="0" applyBorderFormats="0" applyFontFormats="0" applyPatternFormats="0" applyAlignmentFormats="0" applyWidthHeightFormats="0">
  <queryTableRefresh nextId="13">
    <queryTableFields count="12">
      <queryTableField id="1" name="OrderID" tableColumnId="1"/>
      <queryTableField id="2" name="OrderDate" tableColumnId="2"/>
      <queryTableField id="3" name="CustomerID" tableColumnId="3"/>
      <queryTableField id="4" name="Customer" tableColumnId="4"/>
      <queryTableField id="5" name="Phone" tableColumnId="5"/>
      <queryTableField id="6" name="ProductID" tableColumnId="6"/>
      <queryTableField id="7" name="Product" tableColumnId="7"/>
      <queryTableField id="8" name="UnitInStocks" tableColumnId="8"/>
      <queryTableField id="9" name="Quantity" tableColumnId="9"/>
      <queryTableField id="10" name="Cost" tableColumnId="10"/>
      <queryTableField id="11" name="UnitPrice" tableColumnId="11"/>
      <queryTableField id="12" name="Discoun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7BA277-4DEB-4C9F-BAF6-989428E21D6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5807F32-F4DD-44EE-BD25-C61BE38D43FA}" autoFormatId="16" applyNumberFormats="0" applyBorderFormats="0" applyFontFormats="0" applyPatternFormats="0" applyAlignmentFormats="0" applyWidthHeightFormats="0">
  <queryTableRefresh nextId="9">
    <queryTableFields count="8">
      <queryTableField id="1" name="Product Code" tableColumnId="1"/>
      <queryTableField id="2" name="Product" tableColumnId="2"/>
      <queryTableField id="3" name="SupplierID" tableColumnId="3"/>
      <queryTableField id="4" name="Cost" tableColumnId="4"/>
      <queryTableField id="5" name="UnitPrice" tableColumnId="5"/>
      <queryTableField id="6" name="UnitsInStock" tableColumnId="6"/>
      <queryTableField id="7" name="ReorderLevel" tableColumnId="7"/>
      <queryTableField id="8" name="Discontinu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06DC74-F402-4FE1-AD6A-BAC66AF47519}" name="_9EXPERT_VLOOKUP_9EXPERT_ORDERS" displayName="_9EXPERT_VLOOKUP_9EXPERT_ORDERS" ref="A1:L29" tableType="queryTable" totalsRowShown="0">
  <autoFilter ref="A1:L29" xr:uid="{1506DC74-F402-4FE1-AD6A-BAC66AF47519}"/>
  <tableColumns count="12">
    <tableColumn id="1" xr3:uid="{24C218E4-A8BE-40DB-9157-A01D82E0F1D7}" uniqueName="1" name="OrderID" queryTableFieldId="1"/>
    <tableColumn id="2" xr3:uid="{93FE14ED-3631-4DCF-8049-D7A53CC9B434}" uniqueName="2" name="OrderDate" queryTableFieldId="2" dataDxfId="6"/>
    <tableColumn id="3" xr3:uid="{7EEEB7CC-BC96-43A8-8021-9BA84820DD07}" uniqueName="3" name="CustomerID" queryTableFieldId="3" dataDxfId="5"/>
    <tableColumn id="4" xr3:uid="{6ADD55D8-819B-4BA6-8977-0195C586328E}" uniqueName="4" name="Customer" queryTableFieldId="4" dataDxfId="3"/>
    <tableColumn id="5" xr3:uid="{7778C388-303C-4F8E-9B11-E944E133B727}" uniqueName="5" name="Phone" queryTableFieldId="5" dataDxfId="4"/>
    <tableColumn id="6" xr3:uid="{99C536C2-23D7-4F9D-938B-C302F5DA6BFE}" uniqueName="6" name="ProductID" queryTableFieldId="6" dataDxfId="2"/>
    <tableColumn id="7" xr3:uid="{ECCD0E59-22D4-4DC0-93B5-96D6A42987BB}" uniqueName="7" name="Product" queryTableFieldId="7" dataDxfId="1"/>
    <tableColumn id="8" xr3:uid="{A913884D-2DF5-43FE-8E4D-643B5BE942CE}" uniqueName="8" name="UnitInStocks" queryTableFieldId="8" dataDxfId="0"/>
    <tableColumn id="9" xr3:uid="{ED932E86-CBA9-410E-A360-F0E5D7107346}" uniqueName="9" name="Quantity" queryTableFieldId="9"/>
    <tableColumn id="10" xr3:uid="{66F19256-18F3-4F2E-8F14-0C81E35D833E}" uniqueName="10" name="Cost" queryTableFieldId="10"/>
    <tableColumn id="11" xr3:uid="{DE506CA3-A30F-4C28-81E8-860B069A0E59}" uniqueName="11" name="UnitPrice" queryTableFieldId="11"/>
    <tableColumn id="12" xr3:uid="{316B29E0-23A4-4616-93EA-3277D4F820E6}" uniqueName="12" name="Discount" queryTableField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06B7D-0B84-4891-BCA7-A03C29ACB928}" name="_9EXPERT_VLOOKUP_CUSTOMERS" displayName="_9EXPERT_VLOOKUP_CUSTOMERS" ref="A1:G99" tableType="queryTable" totalsRowShown="0">
  <autoFilter ref="A1:G99" xr:uid="{A6206B7D-0B84-4891-BCA7-A03C29ACB928}"/>
  <tableColumns count="7">
    <tableColumn id="1" xr3:uid="{64502FCD-A1AA-4051-A341-7E98DCF1E10E}" uniqueName="1" name="Column1" queryTableFieldId="1" dataDxfId="15"/>
    <tableColumn id="2" xr3:uid="{FC1C5BCC-B311-4916-9F67-9520F5B627BA}" uniqueName="2" name="Column2" queryTableFieldId="2" dataDxfId="14"/>
    <tableColumn id="3" xr3:uid="{5672C601-3FCB-4E18-80F8-3F88725A427C}" uniqueName="3" name="Column3" queryTableFieldId="3" dataDxfId="13"/>
    <tableColumn id="4" xr3:uid="{B93785FF-7E9C-4A86-8C3D-DB3F1C8791BF}" uniqueName="4" name="Column4" queryTableFieldId="4" dataDxfId="12"/>
    <tableColumn id="5" xr3:uid="{F1CB4AF5-ED01-4EC4-A07E-C32446B9A430}" uniqueName="5" name="Column5" queryTableFieldId="5" dataDxfId="11"/>
    <tableColumn id="6" xr3:uid="{EAA5B48C-EA10-403B-B2D3-6C8B4598BB87}" uniqueName="6" name="Column6" queryTableFieldId="6" dataDxfId="10"/>
    <tableColumn id="7" xr3:uid="{4BCB87CF-AB0A-44F1-8382-4CE24BBD350A}" uniqueName="7" name="Column7" queryTableFieldId="7" dataDxfId="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09FBE5-3266-47AB-AF9F-4CDFEAF76654}" name="_9EXPERT_VLOOKUP_PRODUCTS" displayName="_9EXPERT_VLOOKUP_PRODUCTS" ref="A1:H78" tableType="queryTable" totalsRowShown="0">
  <autoFilter ref="A1:H78" xr:uid="{8909FBE5-3266-47AB-AF9F-4CDFEAF76654}"/>
  <tableColumns count="8">
    <tableColumn id="1" xr3:uid="{7B6C6671-B69A-4CF7-AA94-B43DAE6A385D}" uniqueName="1" name="Product Code" queryTableFieldId="1" dataDxfId="8"/>
    <tableColumn id="2" xr3:uid="{5722FC41-C136-4176-BE00-03E184B31120}" uniqueName="2" name="Product" queryTableFieldId="2" dataDxfId="7"/>
    <tableColumn id="3" xr3:uid="{BAFDC4A2-D6A8-4D5F-AD03-F74E719D5730}" uniqueName="3" name="SupplierID" queryTableFieldId="3"/>
    <tableColumn id="4" xr3:uid="{781552FE-117A-4624-A418-3346DF100C83}" uniqueName="4" name="Cost" queryTableFieldId="4"/>
    <tableColumn id="5" xr3:uid="{18717387-9729-462E-A59B-4EE6C52C7EDC}" uniqueName="5" name="UnitPrice" queryTableFieldId="5"/>
    <tableColumn id="6" xr3:uid="{ADDA6285-5A84-4AC7-8B0F-FCA4EB4953BD}" uniqueName="6" name="UnitsInStock" queryTableFieldId="6"/>
    <tableColumn id="7" xr3:uid="{C104FA56-5FFD-4C9B-BFC2-BACF6A909569}" uniqueName="7" name="ReorderLevel" queryTableFieldId="7"/>
    <tableColumn id="8" xr3:uid="{7377CD65-7DCA-4064-9B2B-D94BD702DD57}" uniqueName="8" name="Discontinued" queryTableField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7398-87A4-46B1-9BFA-22B50206CCAB}">
  <dimension ref="A1:L29"/>
  <sheetViews>
    <sheetView zoomScale="115" zoomScaleNormal="115" workbookViewId="0">
      <selection activeCell="G30" sqref="G30"/>
    </sheetView>
  </sheetViews>
  <sheetFormatPr defaultRowHeight="13.75" x14ac:dyDescent="0.3"/>
  <cols>
    <col min="1" max="1" width="10.5703125" bestFit="1" customWidth="1"/>
    <col min="2" max="2" width="12.640625" bestFit="1" customWidth="1"/>
    <col min="3" max="3" width="14.28515625" bestFit="1" customWidth="1"/>
    <col min="4" max="4" width="16.28515625" customWidth="1"/>
    <col min="5" max="5" width="14.140625" bestFit="1" customWidth="1"/>
    <col min="6" max="6" width="12.640625" bestFit="1" customWidth="1"/>
    <col min="7" max="7" width="28.640625" bestFit="1" customWidth="1"/>
    <col min="8" max="8" width="15.28515625" bestFit="1" customWidth="1"/>
    <col min="9" max="9" width="11.2109375" bestFit="1" customWidth="1"/>
    <col min="10" max="10" width="7.0703125" bestFit="1" customWidth="1"/>
    <col min="11" max="11" width="11.5703125" bestFit="1" customWidth="1"/>
    <col min="12" max="12" width="11.28515625" bestFit="1" customWidth="1"/>
  </cols>
  <sheetData>
    <row r="1" spans="1:12" x14ac:dyDescent="0.3">
      <c r="A1" t="s">
        <v>672</v>
      </c>
      <c r="B1" t="s">
        <v>673</v>
      </c>
      <c r="C1" t="s">
        <v>7</v>
      </c>
      <c r="D1" t="s">
        <v>674</v>
      </c>
      <c r="E1" t="s">
        <v>13</v>
      </c>
      <c r="F1" t="s">
        <v>675</v>
      </c>
      <c r="G1" t="s">
        <v>511</v>
      </c>
      <c r="H1" t="s">
        <v>676</v>
      </c>
      <c r="I1" t="s">
        <v>677</v>
      </c>
      <c r="J1" t="s">
        <v>513</v>
      </c>
      <c r="K1" t="s">
        <v>514</v>
      </c>
      <c r="L1" t="s">
        <v>678</v>
      </c>
    </row>
    <row r="2" spans="1:12" x14ac:dyDescent="0.3">
      <c r="A2">
        <v>17001</v>
      </c>
      <c r="B2" s="1" t="s">
        <v>679</v>
      </c>
      <c r="C2" s="1" t="s">
        <v>686</v>
      </c>
      <c r="D2" s="4" t="str">
        <f>_xlfn.XLOOKUP(_9EXPERT_VLOOKUP_9EXPERT_ORDERS[[#This Row],[CustomerID]],'(CUSTOMERS)'!A:A,'(CUSTOMERS)'!B:B,"")</f>
        <v/>
      </c>
      <c r="E2" s="3" t="str">
        <f>_xlfn.XLOOKUP(_9EXPERT_VLOOKUP_9EXPERT_ORDERS[[#This Row],[Customer]],'(CUSTOMERS)'!B:B,'(CUSTOMERS)'!G:G,"")</f>
        <v/>
      </c>
      <c r="F2" s="1" t="s">
        <v>687</v>
      </c>
      <c r="G2" s="5" t="str">
        <f>_xlfn.XLOOKUP(_9EXPERT_VLOOKUP_9EXPERT_ORDERS[[#This Row],[ProductID]],'(PRODUCTS)'!A:A,'(PRODUCTS)'!B:B,"")</f>
        <v/>
      </c>
      <c r="H2" s="6" t="str">
        <f>_xlfn.XLOOKUP(_9EXPERT_VLOOKUP_9EXPERT_ORDERS[[#This Row],[Product]],'(PRODUCTS)'!B:B,'(PRODUCTS)'!F:F,"")</f>
        <v/>
      </c>
      <c r="I2">
        <v>12</v>
      </c>
      <c r="J2">
        <v>10.25</v>
      </c>
      <c r="K2">
        <v>14</v>
      </c>
      <c r="L2">
        <v>0.1</v>
      </c>
    </row>
    <row r="3" spans="1:12" x14ac:dyDescent="0.3">
      <c r="A3">
        <v>17001</v>
      </c>
      <c r="B3" s="1" t="s">
        <v>679</v>
      </c>
      <c r="C3" s="1" t="s">
        <v>14</v>
      </c>
      <c r="D3" s="4" t="str">
        <f>_xlfn.XLOOKUP(_9EXPERT_VLOOKUP_9EXPERT_ORDERS[[#This Row],[CustomerID]],'(CUSTOMERS)'!A:A,'(CUSTOMERS)'!B:B,"")</f>
        <v>9Expert Co., Ltd.</v>
      </c>
      <c r="E3" s="3" t="str">
        <f>_xlfn.XLOOKUP(_9EXPERT_VLOOKUP_9EXPERT_ORDERS[[#This Row],[Customer]],'(CUSTOMERS)'!B:B,'(CUSTOMERS)'!G:G,"")</f>
        <v>022194304</v>
      </c>
      <c r="F3" s="1" t="s">
        <v>608</v>
      </c>
      <c r="G3" s="5" t="str">
        <f>_xlfn.XLOOKUP(_9EXPERT_VLOOKUP_9EXPERT_ORDERS[[#This Row],[ProductID]],'(PRODUCTS)'!A:A,'(PRODUCTS)'!B:B,"")</f>
        <v>Mozzarella di Giovanni</v>
      </c>
      <c r="H3" s="6">
        <f>_xlfn.XLOOKUP(_9EXPERT_VLOOKUP_9EXPERT_ORDERS[[#This Row],[Product]],'(PRODUCTS)'!B:B,'(PRODUCTS)'!F:F,"")</f>
        <v>14</v>
      </c>
      <c r="I3">
        <v>5</v>
      </c>
      <c r="J3">
        <v>17.54</v>
      </c>
      <c r="K3">
        <v>34.799999999999997</v>
      </c>
      <c r="L3">
        <v>0.1</v>
      </c>
    </row>
    <row r="4" spans="1:12" x14ac:dyDescent="0.3">
      <c r="A4">
        <v>17001</v>
      </c>
      <c r="B4" s="1" t="s">
        <v>679</v>
      </c>
      <c r="C4" s="1" t="s">
        <v>14</v>
      </c>
      <c r="D4" s="4" t="str">
        <f>_xlfn.XLOOKUP(_9EXPERT_VLOOKUP_9EXPERT_ORDERS[[#This Row],[CustomerID]],'(CUSTOMERS)'!A:A,'(CUSTOMERS)'!B:B,"")</f>
        <v>9Expert Co., Ltd.</v>
      </c>
      <c r="E4" s="3" t="str">
        <f>_xlfn.XLOOKUP(_9EXPERT_VLOOKUP_9EXPERT_ORDERS[[#This Row],[Customer]],'(CUSTOMERS)'!B:B,'(CUSTOMERS)'!G:G,"")</f>
        <v>022194304</v>
      </c>
      <c r="F4" s="1" t="s">
        <v>620</v>
      </c>
      <c r="G4" s="5" t="str">
        <f>_xlfn.XLOOKUP(_9EXPERT_VLOOKUP_9EXPERT_ORDERS[[#This Row],[ProductID]],'(PRODUCTS)'!A:A,'(PRODUCTS)'!B:B,"")</f>
        <v>Singaporean Hokkien Fried</v>
      </c>
      <c r="H4" s="6">
        <f>_xlfn.XLOOKUP(_9EXPERT_VLOOKUP_9EXPERT_ORDERS[[#This Row],[Product]],'(PRODUCTS)'!B:B,'(PRODUCTS)'!F:F,"")</f>
        <v>26</v>
      </c>
      <c r="I4">
        <v>10</v>
      </c>
      <c r="J4">
        <v>7.73</v>
      </c>
      <c r="K4">
        <v>9.8000000000000007</v>
      </c>
      <c r="L4">
        <v>0.1</v>
      </c>
    </row>
    <row r="5" spans="1:12" x14ac:dyDescent="0.3">
      <c r="A5">
        <v>17002</v>
      </c>
      <c r="B5" s="1" t="s">
        <v>680</v>
      </c>
      <c r="C5" s="1" t="s">
        <v>439</v>
      </c>
      <c r="D5" s="4" t="str">
        <f>_xlfn.XLOOKUP(_9EXPERT_VLOOKUP_9EXPERT_ORDERS[[#This Row],[CustomerID]],'(CUSTOMERS)'!A:A,'(CUSTOMERS)'!B:B,"")</f>
        <v>Toms Spezialitไten</v>
      </c>
      <c r="E5" s="3" t="str">
        <f>_xlfn.XLOOKUP(_9EXPERT_VLOOKUP_9EXPERT_ORDERS[[#This Row],[Customer]],'(CUSTOMERS)'!B:B,'(CUSTOMERS)'!G:G,"")</f>
        <v>0251-031259</v>
      </c>
      <c r="F5" s="1" t="s">
        <v>532</v>
      </c>
      <c r="G5" s="5" t="str">
        <f>_xlfn.XLOOKUP(_9EXPERT_VLOOKUP_9EXPERT_ORDERS[[#This Row],[ProductID]],'(PRODUCTS)'!A:A,'(PRODUCTS)'!B:B,"")</f>
        <v>C๔tes de Blaye</v>
      </c>
      <c r="H5" s="6">
        <f>_xlfn.XLOOKUP(_9EXPERT_VLOOKUP_9EXPERT_ORDERS[[#This Row],[Product]],'(PRODUCTS)'!B:B,'(PRODUCTS)'!F:F,"")</f>
        <v>17</v>
      </c>
      <c r="I5">
        <v>35</v>
      </c>
      <c r="J5">
        <v>100.5</v>
      </c>
      <c r="K5">
        <v>175</v>
      </c>
      <c r="L5">
        <v>0.05</v>
      </c>
    </row>
    <row r="6" spans="1:12" x14ac:dyDescent="0.3">
      <c r="A6">
        <v>17002</v>
      </c>
      <c r="B6" s="1" t="s">
        <v>680</v>
      </c>
      <c r="C6" s="1" t="s">
        <v>439</v>
      </c>
      <c r="D6" s="4" t="str">
        <f>_xlfn.XLOOKUP(_9EXPERT_VLOOKUP_9EXPERT_ORDERS[[#This Row],[CustomerID]],'(CUSTOMERS)'!A:A,'(CUSTOMERS)'!B:B,"")</f>
        <v>Toms Spezialitไten</v>
      </c>
      <c r="E6" s="3" t="str">
        <f>_xlfn.XLOOKUP(_9EXPERT_VLOOKUP_9EXPERT_ORDERS[[#This Row],[Customer]],'(CUSTOMERS)'!B:B,'(CUSTOMERS)'!G:G,"")</f>
        <v>0251-031259</v>
      </c>
      <c r="F6" s="1" t="s">
        <v>640</v>
      </c>
      <c r="G6" s="5" t="str">
        <f>_xlfn.XLOOKUP(_9EXPERT_VLOOKUP_9EXPERT_ORDERS[[#This Row],[ProductID]],'(PRODUCTS)'!A:A,'(PRODUCTS)'!B:B,"")</f>
        <v>Tofu</v>
      </c>
      <c r="H6" s="6">
        <f>_xlfn.XLOOKUP(_9EXPERT_VLOOKUP_9EXPERT_ORDERS[[#This Row],[Product]],'(PRODUCTS)'!B:B,'(PRODUCTS)'!F:F,"")</f>
        <v>35</v>
      </c>
      <c r="I6">
        <v>9</v>
      </c>
      <c r="J6">
        <v>14.65</v>
      </c>
      <c r="K6">
        <v>18.600000000000001</v>
      </c>
      <c r="L6">
        <v>0</v>
      </c>
    </row>
    <row r="7" spans="1:12" x14ac:dyDescent="0.3">
      <c r="A7">
        <v>17002</v>
      </c>
      <c r="B7" s="1" t="s">
        <v>680</v>
      </c>
      <c r="C7" s="1" t="s">
        <v>439</v>
      </c>
      <c r="D7" s="4" t="str">
        <f>_xlfn.XLOOKUP(_9EXPERT_VLOOKUP_9EXPERT_ORDERS[[#This Row],[CustomerID]],'(CUSTOMERS)'!A:A,'(CUSTOMERS)'!B:B,"")</f>
        <v>Toms Spezialitไten</v>
      </c>
      <c r="E7" s="3" t="str">
        <f>_xlfn.XLOOKUP(_9EXPERT_VLOOKUP_9EXPERT_ORDERS[[#This Row],[Customer]],'(CUSTOMERS)'!B:B,'(CUSTOMERS)'!G:G,"")</f>
        <v>0251-031259</v>
      </c>
      <c r="F7" s="1" t="s">
        <v>644</v>
      </c>
      <c r="G7" s="5" t="str">
        <f>_xlfn.XLOOKUP(_9EXPERT_VLOOKUP_9EXPERT_ORDERS[[#This Row],[ProductID]],'(PRODUCTS)'!A:A,'(PRODUCTS)'!B:B,"")</f>
        <v>Manjimup Dried Apples</v>
      </c>
      <c r="H7" s="6">
        <f>_xlfn.XLOOKUP(_9EXPERT_VLOOKUP_9EXPERT_ORDERS[[#This Row],[Product]],'(PRODUCTS)'!B:B,'(PRODUCTS)'!F:F,"")</f>
        <v>20</v>
      </c>
      <c r="I7">
        <v>25</v>
      </c>
      <c r="J7">
        <v>28.83</v>
      </c>
      <c r="K7">
        <v>42.4</v>
      </c>
      <c r="L7">
        <v>0</v>
      </c>
    </row>
    <row r="8" spans="1:12" x14ac:dyDescent="0.3">
      <c r="A8">
        <v>17003</v>
      </c>
      <c r="B8" s="1" t="s">
        <v>681</v>
      </c>
      <c r="C8" s="1" t="s">
        <v>207</v>
      </c>
      <c r="D8" s="4" t="str">
        <f>_xlfn.XLOOKUP(_9EXPERT_VLOOKUP_9EXPERT_ORDERS[[#This Row],[CustomerID]],'(CUSTOMERS)'!A:A,'(CUSTOMERS)'!B:B,"")</f>
        <v>Hanari Carnes</v>
      </c>
      <c r="E8" s="3" t="str">
        <f>_xlfn.XLOOKUP(_9EXPERT_VLOOKUP_9EXPERT_ORDERS[[#This Row],[Customer]],'(CUSTOMERS)'!B:B,'(CUSTOMERS)'!G:G,"")</f>
        <v>(21) 555-0091</v>
      </c>
      <c r="F8" s="1" t="s">
        <v>550</v>
      </c>
      <c r="G8" s="5" t="str">
        <f>_xlfn.XLOOKUP(_9EXPERT_VLOOKUP_9EXPERT_ORDERS[[#This Row],[ProductID]],'(PRODUCTS)'!A:A,'(PRODUCTS)'!B:B,"")</f>
        <v>Louisiana Fiery Hot Pepper Sauce</v>
      </c>
      <c r="H8" s="6">
        <f>_xlfn.XLOOKUP(_9EXPERT_VLOOKUP_9EXPERT_ORDERS[[#This Row],[Product]],'(PRODUCTS)'!B:B,'(PRODUCTS)'!F:F,"")</f>
        <v>76</v>
      </c>
      <c r="I8">
        <v>15</v>
      </c>
      <c r="J8">
        <v>12.8</v>
      </c>
      <c r="K8">
        <v>16.8</v>
      </c>
      <c r="L8">
        <v>0.15</v>
      </c>
    </row>
    <row r="9" spans="1:12" x14ac:dyDescent="0.3">
      <c r="A9">
        <v>17003</v>
      </c>
      <c r="B9" s="1" t="s">
        <v>681</v>
      </c>
      <c r="C9" s="1" t="s">
        <v>207</v>
      </c>
      <c r="D9" s="4" t="str">
        <f>_xlfn.XLOOKUP(_9EXPERT_VLOOKUP_9EXPERT_ORDERS[[#This Row],[CustomerID]],'(CUSTOMERS)'!A:A,'(CUSTOMERS)'!B:B,"")</f>
        <v>Hanari Carnes</v>
      </c>
      <c r="E9" s="3" t="str">
        <f>_xlfn.XLOOKUP(_9EXPERT_VLOOKUP_9EXPERT_ORDERS[[#This Row],[Customer]],'(CUSTOMERS)'!B:B,'(CUSTOMERS)'!G:G,"")</f>
        <v>(21) 555-0091</v>
      </c>
      <c r="F9" s="1" t="s">
        <v>644</v>
      </c>
      <c r="G9" s="5" t="str">
        <f>_xlfn.XLOOKUP(_9EXPERT_VLOOKUP_9EXPERT_ORDERS[[#This Row],[ProductID]],'(PRODUCTS)'!A:A,'(PRODUCTS)'!B:B,"")</f>
        <v>Manjimup Dried Apples</v>
      </c>
      <c r="H9" s="6">
        <f>_xlfn.XLOOKUP(_9EXPERT_VLOOKUP_9EXPERT_ORDERS[[#This Row],[Product]],'(PRODUCTS)'!B:B,'(PRODUCTS)'!F:F,"")</f>
        <v>20</v>
      </c>
      <c r="I9">
        <v>35</v>
      </c>
      <c r="J9">
        <v>32.65</v>
      </c>
      <c r="K9">
        <v>42.4</v>
      </c>
      <c r="L9">
        <v>0.15</v>
      </c>
    </row>
    <row r="10" spans="1:12" x14ac:dyDescent="0.3">
      <c r="A10">
        <v>17003</v>
      </c>
      <c r="B10" s="1" t="s">
        <v>681</v>
      </c>
      <c r="C10" s="1" t="s">
        <v>207</v>
      </c>
      <c r="D10" s="4" t="str">
        <f>_xlfn.XLOOKUP(_9EXPERT_VLOOKUP_9EXPERT_ORDERS[[#This Row],[CustomerID]],'(CUSTOMERS)'!A:A,'(CUSTOMERS)'!B:B,"")</f>
        <v>Hanari Carnes</v>
      </c>
      <c r="E10" s="3" t="str">
        <f>_xlfn.XLOOKUP(_9EXPERT_VLOOKUP_9EXPERT_ORDERS[[#This Row],[Customer]],'(CUSTOMERS)'!B:B,'(CUSTOMERS)'!G:G,"")</f>
        <v>(21) 555-0091</v>
      </c>
      <c r="F10" s="1" t="s">
        <v>658</v>
      </c>
      <c r="G10" s="5" t="str">
        <f>_xlfn.XLOOKUP(_9EXPERT_VLOOKUP_9EXPERT_ORDERS[[#This Row],[ProductID]],'(PRODUCTS)'!A:A,'(PRODUCTS)'!B:B,"")</f>
        <v xml:space="preserve">Jack's New England Clam </v>
      </c>
      <c r="H10" s="6">
        <f>_xlfn.XLOOKUP(_9EXPERT_VLOOKUP_9EXPERT_ORDERS[[#This Row],[Product]],'(PRODUCTS)'!B:B,'(PRODUCTS)'!F:F,"")</f>
        <v>85</v>
      </c>
      <c r="I10">
        <v>10</v>
      </c>
      <c r="J10">
        <v>6.43</v>
      </c>
      <c r="K10">
        <v>7.7</v>
      </c>
      <c r="L10">
        <v>0</v>
      </c>
    </row>
    <row r="11" spans="1:12" x14ac:dyDescent="0.3">
      <c r="A11">
        <v>17004</v>
      </c>
      <c r="B11" s="1" t="s">
        <v>681</v>
      </c>
      <c r="C11" s="1" t="s">
        <v>258</v>
      </c>
      <c r="D11" s="4" t="str">
        <f>_xlfn.XLOOKUP(_9EXPERT_VLOOKUP_9EXPERT_ORDERS[[#This Row],[CustomerID]],'(CUSTOMERS)'!A:A,'(CUSTOMERS)'!B:B,"")</f>
        <v>Lehmanns Marktstand</v>
      </c>
      <c r="E11" s="3" t="str">
        <f>_xlfn.XLOOKUP(_9EXPERT_VLOOKUP_9EXPERT_ORDERS[[#This Row],[Customer]],'(CUSTOMERS)'!B:B,'(CUSTOMERS)'!G:G,"")</f>
        <v>069-0245984</v>
      </c>
      <c r="F11" s="1" t="s">
        <v>622</v>
      </c>
      <c r="G11" s="5" t="str">
        <f>_xlfn.XLOOKUP(_9EXPERT_VLOOKUP_9EXPERT_ORDERS[[#This Row],[ProductID]],'(PRODUCTS)'!A:A,'(PRODUCTS)'!B:B,"")</f>
        <v>Filo Mix</v>
      </c>
      <c r="H11" s="6">
        <f>_xlfn.XLOOKUP(_9EXPERT_VLOOKUP_9EXPERT_ORDERS[[#This Row],[Product]],'(PRODUCTS)'!B:B,'(PRODUCTS)'!F:F,"")</f>
        <v>38</v>
      </c>
      <c r="I11">
        <v>146</v>
      </c>
      <c r="J11">
        <v>4.26</v>
      </c>
      <c r="K11">
        <v>7</v>
      </c>
      <c r="L11">
        <v>0.1</v>
      </c>
    </row>
    <row r="12" spans="1:12" x14ac:dyDescent="0.3">
      <c r="A12">
        <v>17005</v>
      </c>
      <c r="B12" s="1" t="s">
        <v>681</v>
      </c>
      <c r="C12" s="1" t="s">
        <v>462</v>
      </c>
      <c r="D12" s="4" t="str">
        <f>_xlfn.XLOOKUP(_9EXPERT_VLOOKUP_9EXPERT_ORDERS[[#This Row],[CustomerID]],'(CUSTOMERS)'!A:A,'(CUSTOMERS)'!B:B,"")</f>
        <v>Victuailles en stock</v>
      </c>
      <c r="E12" s="3" t="str">
        <f>_xlfn.XLOOKUP(_9EXPERT_VLOOKUP_9EXPERT_ORDERS[[#This Row],[Customer]],'(CUSTOMERS)'!B:B,'(CUSTOMERS)'!G:G,"")</f>
        <v>78.32.54.86</v>
      </c>
      <c r="F12" s="1" t="s">
        <v>550</v>
      </c>
      <c r="G12" s="5" t="str">
        <f>_xlfn.XLOOKUP(_9EXPERT_VLOOKUP_9EXPERT_ORDERS[[#This Row],[ProductID]],'(PRODUCTS)'!A:A,'(PRODUCTS)'!B:B,"")</f>
        <v>Louisiana Fiery Hot Pepper Sauce</v>
      </c>
      <c r="H12" s="6">
        <f>_xlfn.XLOOKUP(_9EXPERT_VLOOKUP_9EXPERT_ORDERS[[#This Row],[Product]],'(PRODUCTS)'!B:B,'(PRODUCTS)'!F:F,"")</f>
        <v>76</v>
      </c>
      <c r="I12">
        <v>20</v>
      </c>
      <c r="J12">
        <v>10.44</v>
      </c>
      <c r="K12">
        <v>16.8</v>
      </c>
      <c r="L12">
        <v>0</v>
      </c>
    </row>
    <row r="13" spans="1:12" x14ac:dyDescent="0.3">
      <c r="A13">
        <v>17005</v>
      </c>
      <c r="B13" s="1" t="s">
        <v>681</v>
      </c>
      <c r="C13" s="1" t="s">
        <v>462</v>
      </c>
      <c r="D13" s="4" t="str">
        <f>_xlfn.XLOOKUP(_9EXPERT_VLOOKUP_9EXPERT_ORDERS[[#This Row],[CustomerID]],'(CUSTOMERS)'!A:A,'(CUSTOMERS)'!B:B,"")</f>
        <v>Victuailles en stock</v>
      </c>
      <c r="E13" s="3" t="str">
        <f>_xlfn.XLOOKUP(_9EXPERT_VLOOKUP_9EXPERT_ORDERS[[#This Row],[Customer]],'(CUSTOMERS)'!B:B,'(CUSTOMERS)'!G:G,"")</f>
        <v>78.32.54.86</v>
      </c>
      <c r="F13" s="1" t="s">
        <v>612</v>
      </c>
      <c r="G13" s="5" t="str">
        <f>_xlfn.XLOOKUP(_9EXPERT_VLOOKUP_9EXPERT_ORDERS[[#This Row],[ProductID]],'(PRODUCTS)'!A:A,'(PRODUCTS)'!B:B,"")</f>
        <v>Ravioli Angelo</v>
      </c>
      <c r="H13" s="6">
        <f>_xlfn.XLOOKUP(_9EXPERT_VLOOKUP_9EXPERT_ORDERS[[#This Row],[Product]],'(PRODUCTS)'!B:B,'(PRODUCTS)'!F:F,"")</f>
        <v>36</v>
      </c>
      <c r="I13">
        <v>15</v>
      </c>
      <c r="J13">
        <v>10.88</v>
      </c>
      <c r="K13">
        <v>15.6</v>
      </c>
      <c r="L13">
        <v>0.05</v>
      </c>
    </row>
    <row r="14" spans="1:12" x14ac:dyDescent="0.3">
      <c r="A14">
        <v>17005</v>
      </c>
      <c r="B14" s="1" t="s">
        <v>681</v>
      </c>
      <c r="C14" s="1" t="s">
        <v>462</v>
      </c>
      <c r="D14" s="4" t="str">
        <f>_xlfn.XLOOKUP(_9EXPERT_VLOOKUP_9EXPERT_ORDERS[[#This Row],[CustomerID]],'(CUSTOMERS)'!A:A,'(CUSTOMERS)'!B:B,"")</f>
        <v>Victuailles en stock</v>
      </c>
      <c r="E14" s="3" t="str">
        <f>_xlfn.XLOOKUP(_9EXPERT_VLOOKUP_9EXPERT_ORDERS[[#This Row],[Customer]],'(CUSTOMERS)'!B:B,'(CUSTOMERS)'!G:G,"")</f>
        <v>78.32.54.86</v>
      </c>
      <c r="F14" s="1" t="s">
        <v>614</v>
      </c>
      <c r="G14" s="5" t="str">
        <f>_xlfn.XLOOKUP(_9EXPERT_VLOOKUP_9EXPERT_ORDERS[[#This Row],[ProductID]],'(PRODUCTS)'!A:A,'(PRODUCTS)'!B:B,"")</f>
        <v>Gustaf's Knckebrd</v>
      </c>
      <c r="H14" s="6">
        <f>_xlfn.XLOOKUP(_9EXPERT_VLOOKUP_9EXPERT_ORDERS[[#This Row],[Product]],'(PRODUCTS)'!B:B,'(PRODUCTS)'!F:F,"")</f>
        <v>104</v>
      </c>
      <c r="I14">
        <v>6</v>
      </c>
      <c r="J14">
        <v>11.09</v>
      </c>
      <c r="K14">
        <v>16.8</v>
      </c>
      <c r="L14">
        <v>0.05</v>
      </c>
    </row>
    <row r="15" spans="1:12" x14ac:dyDescent="0.3">
      <c r="A15">
        <v>17006</v>
      </c>
      <c r="B15" s="1" t="s">
        <v>682</v>
      </c>
      <c r="C15" s="1" t="s">
        <v>416</v>
      </c>
      <c r="D15" s="4" t="str">
        <f>_xlfn.XLOOKUP(_9EXPERT_VLOOKUP_9EXPERT_ORDERS[[#This Row],[CustomerID]],'(CUSTOMERS)'!A:A,'(CUSTOMERS)'!B:B,"")</f>
        <v>Supr๊mes d้lices</v>
      </c>
      <c r="E15" s="3" t="str">
        <f>_xlfn.XLOOKUP(_9EXPERT_VLOOKUP_9EXPERT_ORDERS[[#This Row],[Customer]],'(CUSTOMERS)'!B:B,'(CUSTOMERS)'!G:G,"")</f>
        <v>(071) 23 67 22 20</v>
      </c>
      <c r="F15" s="1" t="s">
        <v>590</v>
      </c>
      <c r="G15" s="5" t="str">
        <f>_xlfn.XLOOKUP(_9EXPERT_VLOOKUP_9EXPERT_ORDERS[[#This Row],[ProductID]],'(PRODUCTS)'!A:A,'(PRODUCTS)'!B:B,"")</f>
        <v>Sir Rodney's Marmalade</v>
      </c>
      <c r="H15" s="6">
        <f>_xlfn.XLOOKUP(_9EXPERT_VLOOKUP_9EXPERT_ORDERS[[#This Row],[Product]],'(PRODUCTS)'!B:B,'(PRODUCTS)'!F:F,"")</f>
        <v>40</v>
      </c>
      <c r="I15">
        <v>15</v>
      </c>
      <c r="J15">
        <v>49.57</v>
      </c>
      <c r="K15">
        <v>64.8</v>
      </c>
      <c r="L15">
        <v>0.05</v>
      </c>
    </row>
    <row r="16" spans="1:12" x14ac:dyDescent="0.3">
      <c r="A16">
        <v>17006</v>
      </c>
      <c r="B16" s="1" t="s">
        <v>682</v>
      </c>
      <c r="C16" s="1" t="s">
        <v>416</v>
      </c>
      <c r="D16" s="4" t="str">
        <f>_xlfn.XLOOKUP(_9EXPERT_VLOOKUP_9EXPERT_ORDERS[[#This Row],[CustomerID]],'(CUSTOMERS)'!A:A,'(CUSTOMERS)'!B:B,"")</f>
        <v>Supr๊mes d้lices</v>
      </c>
      <c r="E16" s="3" t="str">
        <f>_xlfn.XLOOKUP(_9EXPERT_VLOOKUP_9EXPERT_ORDERS[[#This Row],[Customer]],'(CUSTOMERS)'!B:B,'(CUSTOMERS)'!G:G,"")</f>
        <v>(071) 23 67 22 20</v>
      </c>
      <c r="F16" s="1" t="s">
        <v>600</v>
      </c>
      <c r="G16" s="5" t="str">
        <f>_xlfn.XLOOKUP(_9EXPERT_VLOOKUP_9EXPERT_ORDERS[[#This Row],[ProductID]],'(PRODUCTS)'!A:A,'(PRODUCTS)'!B:B,"")</f>
        <v>Camembert Pierrot</v>
      </c>
      <c r="H16" s="6">
        <f>_xlfn.XLOOKUP(_9EXPERT_VLOOKUP_9EXPERT_ORDERS[[#This Row],[Product]],'(PRODUCTS)'!B:B,'(PRODUCTS)'!F:F,"")</f>
        <v>19</v>
      </c>
      <c r="I16">
        <v>16</v>
      </c>
      <c r="J16">
        <v>22.95</v>
      </c>
      <c r="K16">
        <v>27.2</v>
      </c>
      <c r="L16">
        <v>0</v>
      </c>
    </row>
    <row r="17" spans="1:12" x14ac:dyDescent="0.3">
      <c r="A17">
        <v>17006</v>
      </c>
      <c r="B17" s="1" t="s">
        <v>682</v>
      </c>
      <c r="C17" s="1" t="s">
        <v>416</v>
      </c>
      <c r="D17" s="4" t="str">
        <f>_xlfn.XLOOKUP(_9EXPERT_VLOOKUP_9EXPERT_ORDERS[[#This Row],[CustomerID]],'(CUSTOMERS)'!A:A,'(CUSTOMERS)'!B:B,"")</f>
        <v>Supr๊mes d้lices</v>
      </c>
      <c r="E17" s="3" t="str">
        <f>_xlfn.XLOOKUP(_9EXPERT_VLOOKUP_9EXPERT_ORDERS[[#This Row],[Customer]],'(CUSTOMERS)'!B:B,'(CUSTOMERS)'!G:G,"")</f>
        <v>(071) 23 67 22 20</v>
      </c>
      <c r="F17" s="1" t="s">
        <v>602</v>
      </c>
      <c r="G17" s="5" t="str">
        <f>_xlfn.XLOOKUP(_9EXPERT_VLOOKUP_9EXPERT_ORDERS[[#This Row],[ProductID]],'(PRODUCTS)'!A:A,'(PRODUCTS)'!B:B,"")</f>
        <v>Geitost</v>
      </c>
      <c r="H17" s="6">
        <f>_xlfn.XLOOKUP(_9EXPERT_VLOOKUP_9EXPERT_ORDERS[[#This Row],[Product]],'(PRODUCTS)'!B:B,'(PRODUCTS)'!F:F,"")</f>
        <v>112</v>
      </c>
      <c r="I17">
        <v>25</v>
      </c>
      <c r="J17">
        <v>1.76</v>
      </c>
      <c r="K17">
        <v>2</v>
      </c>
      <c r="L17">
        <v>0.05</v>
      </c>
    </row>
    <row r="18" spans="1:12" x14ac:dyDescent="0.3">
      <c r="A18">
        <v>17007</v>
      </c>
      <c r="B18" s="1" t="s">
        <v>683</v>
      </c>
      <c r="C18" s="1" t="s">
        <v>207</v>
      </c>
      <c r="D18" s="4" t="str">
        <f>_xlfn.XLOOKUP(_9EXPERT_VLOOKUP_9EXPERT_ORDERS[[#This Row],[CustomerID]],'(CUSTOMERS)'!A:A,'(CUSTOMERS)'!B:B,"")</f>
        <v>Hanari Carnes</v>
      </c>
      <c r="E18" s="3" t="str">
        <f>_xlfn.XLOOKUP(_9EXPERT_VLOOKUP_9EXPERT_ORDERS[[#This Row],[Customer]],'(CUSTOMERS)'!B:B,'(CUSTOMERS)'!G:G,"")</f>
        <v>(21) 555-0091</v>
      </c>
      <c r="F18" s="1" t="s">
        <v>532</v>
      </c>
      <c r="G18" s="5" t="str">
        <f>_xlfn.XLOOKUP(_9EXPERT_VLOOKUP_9EXPERT_ORDERS[[#This Row],[ProductID]],'(PRODUCTS)'!A:A,'(PRODUCTS)'!B:B,"")</f>
        <v>C๔tes de Blaye</v>
      </c>
      <c r="H18" s="6">
        <f>_xlfn.XLOOKUP(_9EXPERT_VLOOKUP_9EXPERT_ORDERS[[#This Row],[Product]],'(PRODUCTS)'!B:B,'(PRODUCTS)'!F:F,"")</f>
        <v>17</v>
      </c>
      <c r="I18">
        <v>27</v>
      </c>
      <c r="J18">
        <v>100.5</v>
      </c>
      <c r="K18">
        <v>175</v>
      </c>
      <c r="L18">
        <v>0.05</v>
      </c>
    </row>
    <row r="19" spans="1:12" x14ac:dyDescent="0.3">
      <c r="A19">
        <v>17007</v>
      </c>
      <c r="B19" s="1" t="s">
        <v>683</v>
      </c>
      <c r="C19" s="1" t="s">
        <v>207</v>
      </c>
      <c r="D19" s="4" t="str">
        <f>_xlfn.XLOOKUP(_9EXPERT_VLOOKUP_9EXPERT_ORDERS[[#This Row],[CustomerID]],'(CUSTOMERS)'!A:A,'(CUSTOMERS)'!B:B,"")</f>
        <v>Hanari Carnes</v>
      </c>
      <c r="E19" s="3" t="str">
        <f>_xlfn.XLOOKUP(_9EXPERT_VLOOKUP_9EXPERT_ORDERS[[#This Row],[Customer]],'(CUSTOMERS)'!B:B,'(CUSTOMERS)'!G:G,"")</f>
        <v>(21) 555-0091</v>
      </c>
      <c r="F19" s="1" t="s">
        <v>540</v>
      </c>
      <c r="G19" s="5" t="str">
        <f>_xlfn.XLOOKUP(_9EXPERT_VLOOKUP_9EXPERT_ORDERS[[#This Row],[ProductID]],'(PRODUCTS)'!A:A,'(PRODUCTS)'!B:B,"")</f>
        <v>Chartreuse verte</v>
      </c>
      <c r="H19" s="6">
        <f>_xlfn.XLOOKUP(_9EXPERT_VLOOKUP_9EXPERT_ORDERS[[#This Row],[Product]],'(PRODUCTS)'!B:B,'(PRODUCTS)'!F:F,"")</f>
        <v>69</v>
      </c>
      <c r="I19">
        <v>42</v>
      </c>
      <c r="J19">
        <v>10.51</v>
      </c>
      <c r="K19">
        <v>14.4</v>
      </c>
      <c r="L19">
        <v>0</v>
      </c>
    </row>
    <row r="20" spans="1:12" x14ac:dyDescent="0.3">
      <c r="A20">
        <v>17007</v>
      </c>
      <c r="B20" s="1" t="s">
        <v>683</v>
      </c>
      <c r="C20" s="1" t="s">
        <v>207</v>
      </c>
      <c r="D20" s="4" t="str">
        <f>_xlfn.XLOOKUP(_9EXPERT_VLOOKUP_9EXPERT_ORDERS[[#This Row],[CustomerID]],'(CUSTOMERS)'!A:A,'(CUSTOMERS)'!B:B,"")</f>
        <v>Hanari Carnes</v>
      </c>
      <c r="E20" s="3" t="str">
        <f>_xlfn.XLOOKUP(_9EXPERT_VLOOKUP_9EXPERT_ORDERS[[#This Row],[Customer]],'(CUSTOMERS)'!B:B,'(CUSTOMERS)'!G:G,"")</f>
        <v>(21) 555-0091</v>
      </c>
      <c r="F20" s="1" t="s">
        <v>574</v>
      </c>
      <c r="G20" s="5" t="str">
        <f>_xlfn.XLOOKUP(_9EXPERT_VLOOKUP_9EXPERT_ORDERS[[#This Row],[ProductID]],'(PRODUCTS)'!A:A,'(PRODUCTS)'!B:B,"")</f>
        <v>Maxilaku</v>
      </c>
      <c r="H20" s="6">
        <f>_xlfn.XLOOKUP(_9EXPERT_VLOOKUP_9EXPERT_ORDERS[[#This Row],[Product]],'(PRODUCTS)'!B:B,'(PRODUCTS)'!F:F,"")</f>
        <v>10</v>
      </c>
      <c r="I20">
        <v>40</v>
      </c>
      <c r="J20">
        <v>12.96</v>
      </c>
      <c r="K20">
        <v>16</v>
      </c>
      <c r="L20">
        <v>0</v>
      </c>
    </row>
    <row r="21" spans="1:12" x14ac:dyDescent="0.3">
      <c r="A21">
        <v>17007</v>
      </c>
      <c r="B21" s="1" t="s">
        <v>683</v>
      </c>
      <c r="C21" s="1" t="s">
        <v>207</v>
      </c>
      <c r="D21" s="4" t="str">
        <f>_xlfn.XLOOKUP(_9EXPERT_VLOOKUP_9EXPERT_ORDERS[[#This Row],[CustomerID]],'(CUSTOMERS)'!A:A,'(CUSTOMERS)'!B:B,"")</f>
        <v>Hanari Carnes</v>
      </c>
      <c r="E21" s="3" t="str">
        <f>_xlfn.XLOOKUP(_9EXPERT_VLOOKUP_9EXPERT_ORDERS[[#This Row],[Customer]],'(CUSTOMERS)'!B:B,'(CUSTOMERS)'!G:G,"")</f>
        <v>(21) 555-0091</v>
      </c>
      <c r="F21" s="1" t="s">
        <v>596</v>
      </c>
      <c r="G21" s="5" t="str">
        <f>_xlfn.XLOOKUP(_9EXPERT_VLOOKUP_9EXPERT_ORDERS[[#This Row],[ProductID]],'(PRODUCTS)'!A:A,'(PRODUCTS)'!B:B,"")</f>
        <v>Gorgonzola Telino</v>
      </c>
      <c r="H21" s="6">
        <f>_xlfn.XLOOKUP(_9EXPERT_VLOOKUP_9EXPERT_ORDERS[[#This Row],[Product]],'(PRODUCTS)'!B:B,'(PRODUCTS)'!F:F,"")</f>
        <v>0</v>
      </c>
      <c r="I21">
        <v>20</v>
      </c>
      <c r="J21">
        <v>7.8</v>
      </c>
      <c r="K21">
        <v>10</v>
      </c>
      <c r="L21">
        <v>0</v>
      </c>
    </row>
    <row r="22" spans="1:12" x14ac:dyDescent="0.3">
      <c r="A22">
        <v>17008</v>
      </c>
      <c r="B22" s="1" t="s">
        <v>683</v>
      </c>
      <c r="C22" s="1" t="s">
        <v>439</v>
      </c>
      <c r="D22" s="4" t="str">
        <f>_xlfn.XLOOKUP(_9EXPERT_VLOOKUP_9EXPERT_ORDERS[[#This Row],[CustomerID]],'(CUSTOMERS)'!A:A,'(CUSTOMERS)'!B:B,"")</f>
        <v>Toms Spezialitไten</v>
      </c>
      <c r="E22" s="3" t="str">
        <f>_xlfn.XLOOKUP(_9EXPERT_VLOOKUP_9EXPERT_ORDERS[[#This Row],[Customer]],'(CUSTOMERS)'!B:B,'(CUSTOMERS)'!G:G,"")</f>
        <v>0251-031259</v>
      </c>
      <c r="F22" s="1" t="s">
        <v>624</v>
      </c>
      <c r="G22" s="5" t="str">
        <f>_xlfn.XLOOKUP(_9EXPERT_VLOOKUP_9EXPERT_ORDERS[[#This Row],[ProductID]],'(PRODUCTS)'!A:A,'(PRODUCTS)'!B:B,"")</f>
        <v>Tunnbrd</v>
      </c>
      <c r="H22" s="6">
        <f>_xlfn.XLOOKUP(_9EXPERT_VLOOKUP_9EXPERT_ORDERS[[#This Row],[Product]],'(PRODUCTS)'!B:B,'(PRODUCTS)'!F:F,"")</f>
        <v>61</v>
      </c>
      <c r="I22">
        <v>157</v>
      </c>
      <c r="J22">
        <v>5.76</v>
      </c>
      <c r="K22">
        <v>9</v>
      </c>
      <c r="L22">
        <v>0.1</v>
      </c>
    </row>
    <row r="23" spans="1:12" x14ac:dyDescent="0.3">
      <c r="A23">
        <v>17009</v>
      </c>
      <c r="B23" s="1" t="s">
        <v>684</v>
      </c>
      <c r="C23" s="1" t="s">
        <v>102</v>
      </c>
      <c r="D23" s="4" t="str">
        <f>_xlfn.XLOOKUP(_9EXPERT_VLOOKUP_9EXPERT_ORDERS[[#This Row],[CustomerID]],'(CUSTOMERS)'!A:A,'(CUSTOMERS)'!B:B,"")</f>
        <v>Chop-suey Chinese</v>
      </c>
      <c r="E23" s="3" t="str">
        <f>_xlfn.XLOOKUP(_9EXPERT_VLOOKUP_9EXPERT_ORDERS[[#This Row],[Customer]],'(CUSTOMERS)'!B:B,'(CUSTOMERS)'!G:G,"")</f>
        <v>0452-076545</v>
      </c>
      <c r="F23" s="1" t="s">
        <v>518</v>
      </c>
      <c r="G23" s="5" t="str">
        <f>_xlfn.XLOOKUP(_9EXPERT_VLOOKUP_9EXPERT_ORDERS[[#This Row],[ProductID]],'(PRODUCTS)'!A:A,'(PRODUCTS)'!B:B,"")</f>
        <v>Chai</v>
      </c>
      <c r="H23" s="6">
        <f>_xlfn.XLOOKUP(_9EXPERT_VLOOKUP_9EXPERT_ORDERS[[#This Row],[Product]],'(PRODUCTS)'!B:B,'(PRODUCTS)'!F:F,"")</f>
        <v>39</v>
      </c>
      <c r="I23">
        <v>15</v>
      </c>
      <c r="J23">
        <v>8.64</v>
      </c>
      <c r="K23">
        <v>3.6</v>
      </c>
      <c r="L23">
        <v>0.15</v>
      </c>
    </row>
    <row r="24" spans="1:12" x14ac:dyDescent="0.3">
      <c r="A24">
        <v>17009</v>
      </c>
      <c r="B24" s="1" t="s">
        <v>684</v>
      </c>
      <c r="C24" s="1" t="s">
        <v>102</v>
      </c>
      <c r="D24" s="4" t="str">
        <f>_xlfn.XLOOKUP(_9EXPERT_VLOOKUP_9EXPERT_ORDERS[[#This Row],[CustomerID]],'(CUSTOMERS)'!A:A,'(CUSTOMERS)'!B:B,"")</f>
        <v>Chop-suey Chinese</v>
      </c>
      <c r="E24" s="3" t="str">
        <f>_xlfn.XLOOKUP(_9EXPERT_VLOOKUP_9EXPERT_ORDERS[[#This Row],[Customer]],'(CUSTOMERS)'!B:B,'(CUSTOMERS)'!G:G,"")</f>
        <v>0452-076545</v>
      </c>
      <c r="F24" s="1" t="s">
        <v>628</v>
      </c>
      <c r="G24" s="5" t="str">
        <f>_xlfn.XLOOKUP(_9EXPERT_VLOOKUP_9EXPERT_ORDERS[[#This Row],[ProductID]],'(PRODUCTS)'!A:A,'(PRODUCTS)'!B:B,"")</f>
        <v>Pt chinois</v>
      </c>
      <c r="H24" s="6">
        <f>_xlfn.XLOOKUP(_9EXPERT_VLOOKUP_9EXPERT_ORDERS[[#This Row],[Product]],'(PRODUCTS)'!B:B,'(PRODUCTS)'!F:F,"")</f>
        <v>115</v>
      </c>
      <c r="I24">
        <v>21</v>
      </c>
      <c r="J24">
        <v>15.98</v>
      </c>
      <c r="K24">
        <v>19.2</v>
      </c>
      <c r="L24">
        <v>0.15</v>
      </c>
    </row>
    <row r="25" spans="1:12" x14ac:dyDescent="0.3">
      <c r="A25">
        <v>17009</v>
      </c>
      <c r="B25" s="1" t="s">
        <v>684</v>
      </c>
      <c r="C25" s="1" t="s">
        <v>102</v>
      </c>
      <c r="D25" s="4" t="str">
        <f>_xlfn.XLOOKUP(_9EXPERT_VLOOKUP_9EXPERT_ORDERS[[#This Row],[CustomerID]],'(CUSTOMERS)'!A:A,'(CUSTOMERS)'!B:B,"")</f>
        <v>Chop-suey Chinese</v>
      </c>
      <c r="E25" s="3" t="str">
        <f>_xlfn.XLOOKUP(_9EXPERT_VLOOKUP_9EXPERT_ORDERS[[#This Row],[Customer]],'(CUSTOMERS)'!B:B,'(CUSTOMERS)'!G:G,"")</f>
        <v>0452-076545</v>
      </c>
      <c r="F25" s="1" t="s">
        <v>638</v>
      </c>
      <c r="G25" s="5" t="str">
        <f>_xlfn.XLOOKUP(_9EXPERT_VLOOKUP_9EXPERT_ORDERS[[#This Row],[ProductID]],'(PRODUCTS)'!A:A,'(PRODUCTS)'!B:B,"")</f>
        <v>Longlife Tofu</v>
      </c>
      <c r="H25" s="6">
        <f>_xlfn.XLOOKUP(_9EXPERT_VLOOKUP_9EXPERT_ORDERS[[#This Row],[Product]],'(PRODUCTS)'!B:B,'(PRODUCTS)'!F:F,"")</f>
        <v>4</v>
      </c>
      <c r="I25">
        <v>21</v>
      </c>
      <c r="J25">
        <v>6.12</v>
      </c>
      <c r="K25">
        <v>8</v>
      </c>
      <c r="L25">
        <v>0</v>
      </c>
    </row>
    <row r="26" spans="1:12" x14ac:dyDescent="0.3">
      <c r="A26">
        <v>17010</v>
      </c>
      <c r="B26" s="1" t="s">
        <v>685</v>
      </c>
      <c r="C26" s="1" t="s">
        <v>372</v>
      </c>
      <c r="D26" s="4" t="str">
        <f>_xlfn.XLOOKUP(_9EXPERT_VLOOKUP_9EXPERT_ORDERS[[#This Row],[CustomerID]],'(CUSTOMERS)'!A:A,'(CUSTOMERS)'!B:B,"")</f>
        <v>Richter Supermarkt</v>
      </c>
      <c r="E26" s="3" t="str">
        <f>_xlfn.XLOOKUP(_9EXPERT_VLOOKUP_9EXPERT_ORDERS[[#This Row],[Customer]],'(CUSTOMERS)'!B:B,'(CUSTOMERS)'!G:G,"")</f>
        <v>0897-034214</v>
      </c>
      <c r="F26" s="1" t="s">
        <v>520</v>
      </c>
      <c r="G26" s="5" t="str">
        <f>_xlfn.XLOOKUP(_9EXPERT_VLOOKUP_9EXPERT_ORDERS[[#This Row],[ProductID]],'(PRODUCTS)'!A:A,'(PRODUCTS)'!B:B,"")</f>
        <v>Chang</v>
      </c>
      <c r="H26" s="6">
        <f>_xlfn.XLOOKUP(_9EXPERT_VLOOKUP_9EXPERT_ORDERS[[#This Row],[Product]],'(PRODUCTS)'!B:B,'(PRODUCTS)'!F:F,"")</f>
        <v>17</v>
      </c>
      <c r="I26">
        <v>20</v>
      </c>
      <c r="J26">
        <v>9.42</v>
      </c>
      <c r="K26">
        <v>15.2</v>
      </c>
      <c r="L26">
        <v>0</v>
      </c>
    </row>
    <row r="27" spans="1:12" x14ac:dyDescent="0.3">
      <c r="A27">
        <v>17010</v>
      </c>
      <c r="B27" s="1" t="s">
        <v>685</v>
      </c>
      <c r="C27" s="1" t="s">
        <v>372</v>
      </c>
      <c r="D27" s="4" t="str">
        <f>_xlfn.XLOOKUP(_9EXPERT_VLOOKUP_9EXPERT_ORDERS[[#This Row],[CustomerID]],'(CUSTOMERS)'!A:A,'(CUSTOMERS)'!B:B,"")</f>
        <v>Richter Supermarkt</v>
      </c>
      <c r="E27" s="3" t="str">
        <f>_xlfn.XLOOKUP(_9EXPERT_VLOOKUP_9EXPERT_ORDERS[[#This Row],[Customer]],'(CUSTOMERS)'!B:B,'(CUSTOMERS)'!G:G,"")</f>
        <v>0897-034214</v>
      </c>
      <c r="F27" s="1" t="s">
        <v>566</v>
      </c>
      <c r="G27" s="5" t="str">
        <f>_xlfn.XLOOKUP(_9EXPERT_VLOOKUP_9EXPERT_ORDERS[[#This Row],[ProductID]],'(PRODUCTS)'!A:A,'(PRODUCTS)'!B:B,"")</f>
        <v>Pavlova</v>
      </c>
      <c r="H27" s="6">
        <f>_xlfn.XLOOKUP(_9EXPERT_VLOOKUP_9EXPERT_ORDERS[[#This Row],[Product]],'(PRODUCTS)'!B:B,'(PRODUCTS)'!F:F,"")</f>
        <v>29</v>
      </c>
      <c r="I27">
        <v>35</v>
      </c>
      <c r="J27">
        <v>10.050000000000001</v>
      </c>
      <c r="K27">
        <v>13.9</v>
      </c>
      <c r="L27">
        <v>0</v>
      </c>
    </row>
    <row r="28" spans="1:12" x14ac:dyDescent="0.3">
      <c r="A28">
        <v>17010</v>
      </c>
      <c r="B28" s="1" t="s">
        <v>685</v>
      </c>
      <c r="C28" s="1" t="s">
        <v>372</v>
      </c>
      <c r="D28" s="4" t="str">
        <f>_xlfn.XLOOKUP(_9EXPERT_VLOOKUP_9EXPERT_ORDERS[[#This Row],[CustomerID]],'(CUSTOMERS)'!A:A,'(CUSTOMERS)'!B:B,"")</f>
        <v>Richter Supermarkt</v>
      </c>
      <c r="E28" s="3" t="str">
        <f>_xlfn.XLOOKUP(_9EXPERT_VLOOKUP_9EXPERT_ORDERS[[#This Row],[Customer]],'(CUSTOMERS)'!B:B,'(CUSTOMERS)'!G:G,"")</f>
        <v>0897-034214</v>
      </c>
      <c r="F28" s="1" t="s">
        <v>604</v>
      </c>
      <c r="G28" s="5" t="str">
        <f>_xlfn.XLOOKUP(_9EXPERT_VLOOKUP_9EXPERT_ORDERS[[#This Row],[ProductID]],'(PRODUCTS)'!A:A,'(PRODUCTS)'!B:B,"")</f>
        <v>Raclette Courdavault</v>
      </c>
      <c r="H28" s="6">
        <f>_xlfn.XLOOKUP(_9EXPERT_VLOOKUP_9EXPERT_ORDERS[[#This Row],[Product]],'(PRODUCTS)'!B:B,'(PRODUCTS)'!F:F,"")</f>
        <v>79</v>
      </c>
      <c r="I28">
        <v>30</v>
      </c>
      <c r="J28">
        <v>31.19</v>
      </c>
      <c r="K28">
        <v>44</v>
      </c>
      <c r="L28">
        <v>0</v>
      </c>
    </row>
    <row r="29" spans="1:12" x14ac:dyDescent="0.3">
      <c r="A29">
        <v>17010</v>
      </c>
      <c r="B29" s="1" t="s">
        <v>685</v>
      </c>
      <c r="C29" s="1" t="s">
        <v>372</v>
      </c>
      <c r="D29" s="4" t="str">
        <f>_xlfn.XLOOKUP(_9EXPERT_VLOOKUP_9EXPERT_ORDERS[[#This Row],[CustomerID]],'(CUSTOMERS)'!A:A,'(CUSTOMERS)'!B:B,"")</f>
        <v>Richter Supermarkt</v>
      </c>
      <c r="E29" s="3" t="str">
        <f>_xlfn.XLOOKUP(_9EXPERT_VLOOKUP_9EXPERT_ORDERS[[#This Row],[Customer]],'(CUSTOMERS)'!B:B,'(CUSTOMERS)'!G:G,"")</f>
        <v>0897-034214</v>
      </c>
      <c r="F29" s="1" t="s">
        <v>652</v>
      </c>
      <c r="G29" s="5" t="str">
        <f>_xlfn.XLOOKUP(_9EXPERT_VLOOKUP_9EXPERT_ORDERS[[#This Row],[ProductID]],'(PRODUCTS)'!A:A,'(PRODUCTS)'!B:B,"")</f>
        <v>Inlagd Sill</v>
      </c>
      <c r="H29" s="6">
        <f>_xlfn.XLOOKUP(_9EXPERT_VLOOKUP_9EXPERT_ORDERS[[#This Row],[Product]],'(PRODUCTS)'!B:B,'(PRODUCTS)'!F:F,"")</f>
        <v>112</v>
      </c>
      <c r="I29">
        <v>25</v>
      </c>
      <c r="J29">
        <v>11.86</v>
      </c>
      <c r="K29">
        <v>15.2</v>
      </c>
      <c r="L2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84DB-1A80-41F4-BDE7-AC3B7220A548}">
  <dimension ref="A1:G99"/>
  <sheetViews>
    <sheetView workbookViewId="0">
      <selection activeCell="N22" sqref="N22"/>
    </sheetView>
  </sheetViews>
  <sheetFormatPr defaultRowHeight="13.75" x14ac:dyDescent="0.3"/>
  <cols>
    <col min="1" max="1" width="11.35546875" bestFit="1" customWidth="1"/>
    <col min="2" max="2" width="30.7109375" bestFit="1" customWidth="1"/>
    <col min="3" max="3" width="20.5703125" bestFit="1" customWidth="1"/>
    <col min="4" max="4" width="26.35546875" bestFit="1" customWidth="1"/>
    <col min="5" max="5" width="22.640625" bestFit="1" customWidth="1"/>
    <col min="6" max="6" width="11.35546875" bestFit="1" customWidth="1"/>
    <col min="7" max="7" width="15.57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x14ac:dyDescent="0.3">
      <c r="A5" s="1" t="s">
        <v>28</v>
      </c>
      <c r="B5" s="1" t="s">
        <v>29</v>
      </c>
      <c r="C5" s="1" t="s">
        <v>30</v>
      </c>
      <c r="D5" s="1" t="s">
        <v>24</v>
      </c>
      <c r="E5" s="1" t="s">
        <v>25</v>
      </c>
      <c r="F5" s="1" t="s">
        <v>26</v>
      </c>
      <c r="G5" s="1" t="s">
        <v>31</v>
      </c>
    </row>
    <row r="6" spans="1:7" x14ac:dyDescent="0.3">
      <c r="A6" s="1" t="s">
        <v>32</v>
      </c>
      <c r="B6" s="1" t="s">
        <v>33</v>
      </c>
      <c r="C6" s="1" t="s">
        <v>34</v>
      </c>
      <c r="D6" s="1" t="s">
        <v>17</v>
      </c>
      <c r="E6" s="1" t="s">
        <v>35</v>
      </c>
      <c r="F6" s="1" t="s">
        <v>36</v>
      </c>
      <c r="G6" s="1" t="s">
        <v>37</v>
      </c>
    </row>
    <row r="7" spans="1:7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19</v>
      </c>
      <c r="G7" s="1" t="s">
        <v>43</v>
      </c>
    </row>
    <row r="8" spans="1:7" x14ac:dyDescent="0.3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</row>
    <row r="9" spans="1:7" x14ac:dyDescent="0.3">
      <c r="A9" s="1" t="s">
        <v>51</v>
      </c>
      <c r="B9" s="1" t="s">
        <v>52</v>
      </c>
      <c r="C9" s="1" t="s">
        <v>53</v>
      </c>
      <c r="D9" s="1" t="s">
        <v>17</v>
      </c>
      <c r="E9" s="1" t="s">
        <v>54</v>
      </c>
      <c r="F9" s="1" t="s">
        <v>55</v>
      </c>
      <c r="G9" s="1" t="s">
        <v>56</v>
      </c>
    </row>
    <row r="10" spans="1:7" x14ac:dyDescent="0.3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</row>
    <row r="11" spans="1:7" x14ac:dyDescent="0.3">
      <c r="A11" s="1" t="s">
        <v>64</v>
      </c>
      <c r="B11" s="1" t="s">
        <v>65</v>
      </c>
      <c r="C11" s="1" t="s">
        <v>66</v>
      </c>
      <c r="D11" s="1" t="s">
        <v>24</v>
      </c>
      <c r="E11" s="1" t="s">
        <v>67</v>
      </c>
      <c r="F11" s="1" t="s">
        <v>68</v>
      </c>
      <c r="G11" s="1" t="s">
        <v>69</v>
      </c>
    </row>
    <row r="12" spans="1:7" x14ac:dyDescent="0.3">
      <c r="A12" s="1" t="s">
        <v>70</v>
      </c>
      <c r="B12" s="1" t="s">
        <v>71</v>
      </c>
      <c r="C12" s="1" t="s">
        <v>72</v>
      </c>
      <c r="D12" s="1" t="s">
        <v>24</v>
      </c>
      <c r="E12" s="1" t="s">
        <v>73</v>
      </c>
      <c r="F12" s="1" t="s">
        <v>62</v>
      </c>
      <c r="G12" s="1" t="s">
        <v>74</v>
      </c>
    </row>
    <row r="13" spans="1:7" x14ac:dyDescent="0.3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80</v>
      </c>
      <c r="G13" s="1" t="s">
        <v>81</v>
      </c>
    </row>
    <row r="14" spans="1:7" x14ac:dyDescent="0.3">
      <c r="A14" s="1" t="s">
        <v>82</v>
      </c>
      <c r="B14" s="1" t="s">
        <v>83</v>
      </c>
      <c r="C14" s="1" t="s">
        <v>84</v>
      </c>
      <c r="D14" s="1" t="s">
        <v>17</v>
      </c>
      <c r="E14" s="1" t="s">
        <v>35</v>
      </c>
      <c r="F14" s="1" t="s">
        <v>36</v>
      </c>
      <c r="G14" s="1" t="s">
        <v>85</v>
      </c>
    </row>
    <row r="15" spans="1:7" x14ac:dyDescent="0.3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92</v>
      </c>
    </row>
    <row r="16" spans="1:7" x14ac:dyDescent="0.3">
      <c r="A16" s="1" t="s">
        <v>93</v>
      </c>
      <c r="B16" s="1" t="s">
        <v>94</v>
      </c>
      <c r="C16" s="1" t="s">
        <v>95</v>
      </c>
      <c r="D16" s="1" t="s">
        <v>60</v>
      </c>
      <c r="E16" s="1" t="s">
        <v>25</v>
      </c>
      <c r="F16" s="1" t="s">
        <v>26</v>
      </c>
      <c r="G16" s="1" t="s">
        <v>96</v>
      </c>
    </row>
    <row r="17" spans="1:7" x14ac:dyDescent="0.3">
      <c r="A17" s="1" t="s">
        <v>97</v>
      </c>
      <c r="B17" s="1" t="s">
        <v>98</v>
      </c>
      <c r="C17" s="1" t="s">
        <v>99</v>
      </c>
      <c r="D17" s="1" t="s">
        <v>41</v>
      </c>
      <c r="E17" s="1" t="s">
        <v>100</v>
      </c>
      <c r="F17" s="1" t="s">
        <v>19</v>
      </c>
      <c r="G17" s="1" t="s">
        <v>101</v>
      </c>
    </row>
    <row r="18" spans="1:7" x14ac:dyDescent="0.3">
      <c r="A18" s="1" t="s">
        <v>102</v>
      </c>
      <c r="B18" s="1" t="s">
        <v>103</v>
      </c>
      <c r="C18" s="1" t="s">
        <v>104</v>
      </c>
      <c r="D18" s="1" t="s">
        <v>24</v>
      </c>
      <c r="E18" s="1" t="s">
        <v>105</v>
      </c>
      <c r="F18" s="1" t="s">
        <v>106</v>
      </c>
      <c r="G18" s="1" t="s">
        <v>107</v>
      </c>
    </row>
    <row r="19" spans="1:7" x14ac:dyDescent="0.3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  <c r="G19" s="1" t="s">
        <v>114</v>
      </c>
    </row>
    <row r="20" spans="1:7" x14ac:dyDescent="0.3">
      <c r="A20" s="1" t="s">
        <v>115</v>
      </c>
      <c r="B20" s="1" t="s">
        <v>116</v>
      </c>
      <c r="C20" s="1" t="s">
        <v>117</v>
      </c>
      <c r="D20" s="1" t="s">
        <v>17</v>
      </c>
      <c r="E20" s="1" t="s">
        <v>35</v>
      </c>
      <c r="F20" s="1" t="s">
        <v>36</v>
      </c>
      <c r="G20" s="1" t="s">
        <v>118</v>
      </c>
    </row>
    <row r="21" spans="1:7" x14ac:dyDescent="0.3">
      <c r="A21" s="1" t="s">
        <v>119</v>
      </c>
      <c r="B21" s="1" t="s">
        <v>120</v>
      </c>
      <c r="C21" s="1" t="s">
        <v>121</v>
      </c>
      <c r="D21" s="1" t="s">
        <v>47</v>
      </c>
      <c r="E21" s="1" t="s">
        <v>122</v>
      </c>
      <c r="F21" s="1" t="s">
        <v>55</v>
      </c>
      <c r="G21" s="1" t="s">
        <v>123</v>
      </c>
    </row>
    <row r="22" spans="1:7" x14ac:dyDescent="0.3">
      <c r="A22" s="1" t="s">
        <v>124</v>
      </c>
      <c r="B22" s="1" t="s">
        <v>125</v>
      </c>
      <c r="C22" s="1" t="s">
        <v>126</v>
      </c>
      <c r="D22" s="1" t="s">
        <v>24</v>
      </c>
      <c r="E22" s="1" t="s">
        <v>127</v>
      </c>
      <c r="F22" s="1" t="s">
        <v>62</v>
      </c>
      <c r="G22" s="1" t="s">
        <v>128</v>
      </c>
    </row>
    <row r="23" spans="1:7" x14ac:dyDescent="0.3">
      <c r="A23" s="1" t="s">
        <v>129</v>
      </c>
      <c r="B23" s="1" t="s">
        <v>130</v>
      </c>
      <c r="C23" s="1" t="s">
        <v>131</v>
      </c>
      <c r="D23" s="1" t="s">
        <v>89</v>
      </c>
      <c r="E23" s="1" t="s">
        <v>35</v>
      </c>
      <c r="F23" s="1" t="s">
        <v>36</v>
      </c>
      <c r="G23" s="1" t="s">
        <v>132</v>
      </c>
    </row>
    <row r="24" spans="1:7" x14ac:dyDescent="0.3">
      <c r="A24" s="1" t="s">
        <v>133</v>
      </c>
      <c r="B24" s="1" t="s">
        <v>134</v>
      </c>
      <c r="C24" s="1" t="s">
        <v>135</v>
      </c>
      <c r="D24" s="1" t="s">
        <v>41</v>
      </c>
      <c r="E24" s="1" t="s">
        <v>136</v>
      </c>
      <c r="F24" s="1" t="s">
        <v>137</v>
      </c>
      <c r="G24" s="1" t="s">
        <v>138</v>
      </c>
    </row>
    <row r="25" spans="1:7" x14ac:dyDescent="0.3">
      <c r="A25" s="1" t="s">
        <v>139</v>
      </c>
      <c r="B25" s="1" t="s">
        <v>140</v>
      </c>
      <c r="C25" s="1" t="s">
        <v>141</v>
      </c>
      <c r="D25" s="1" t="s">
        <v>142</v>
      </c>
      <c r="E25" s="1" t="s">
        <v>112</v>
      </c>
      <c r="F25" s="1" t="s">
        <v>113</v>
      </c>
      <c r="G25" s="1" t="s">
        <v>143</v>
      </c>
    </row>
    <row r="26" spans="1:7" x14ac:dyDescent="0.3">
      <c r="A26" s="1" t="s">
        <v>144</v>
      </c>
      <c r="B26" s="1" t="s">
        <v>145</v>
      </c>
      <c r="C26" s="1" t="s">
        <v>146</v>
      </c>
      <c r="D26" s="1" t="s">
        <v>78</v>
      </c>
      <c r="E26" s="1" t="s">
        <v>67</v>
      </c>
      <c r="F26" s="1" t="s">
        <v>68</v>
      </c>
      <c r="G26" s="1" t="s">
        <v>147</v>
      </c>
    </row>
    <row r="27" spans="1:7" x14ac:dyDescent="0.3">
      <c r="A27" s="1" t="s">
        <v>148</v>
      </c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62</v>
      </c>
      <c r="G27" s="1" t="s">
        <v>153</v>
      </c>
    </row>
    <row r="28" spans="1:7" x14ac:dyDescent="0.3">
      <c r="A28" s="1" t="s">
        <v>154</v>
      </c>
      <c r="B28" s="1" t="s">
        <v>155</v>
      </c>
      <c r="C28" s="1" t="s">
        <v>156</v>
      </c>
      <c r="D28" s="1" t="s">
        <v>24</v>
      </c>
      <c r="E28" s="1" t="s">
        <v>157</v>
      </c>
      <c r="F28" s="1" t="s">
        <v>49</v>
      </c>
      <c r="G28" s="1" t="s">
        <v>158</v>
      </c>
    </row>
    <row r="29" spans="1:7" x14ac:dyDescent="0.3">
      <c r="A29" s="1" t="s">
        <v>159</v>
      </c>
      <c r="B29" s="1" t="s">
        <v>160</v>
      </c>
      <c r="C29" s="1" t="s">
        <v>161</v>
      </c>
      <c r="D29" s="1" t="s">
        <v>60</v>
      </c>
      <c r="E29" s="1" t="s">
        <v>162</v>
      </c>
      <c r="F29" s="1" t="s">
        <v>55</v>
      </c>
      <c r="G29" s="1" t="s">
        <v>163</v>
      </c>
    </row>
    <row r="30" spans="1:7" x14ac:dyDescent="0.3">
      <c r="A30" s="1" t="s">
        <v>164</v>
      </c>
      <c r="B30" s="1" t="s">
        <v>165</v>
      </c>
      <c r="C30" s="1" t="s">
        <v>166</v>
      </c>
      <c r="D30" s="1" t="s">
        <v>60</v>
      </c>
      <c r="E30" s="1" t="s">
        <v>127</v>
      </c>
      <c r="F30" s="1" t="s">
        <v>62</v>
      </c>
      <c r="G30" s="1" t="s">
        <v>167</v>
      </c>
    </row>
    <row r="31" spans="1:7" x14ac:dyDescent="0.3">
      <c r="A31" s="1" t="s">
        <v>168</v>
      </c>
      <c r="B31" s="1" t="s">
        <v>169</v>
      </c>
      <c r="C31" s="1" t="s">
        <v>170</v>
      </c>
      <c r="D31" s="1" t="s">
        <v>17</v>
      </c>
      <c r="E31" s="1" t="s">
        <v>171</v>
      </c>
      <c r="F31" s="1" t="s">
        <v>172</v>
      </c>
      <c r="G31" s="1" t="s">
        <v>173</v>
      </c>
    </row>
    <row r="32" spans="1:7" x14ac:dyDescent="0.3">
      <c r="A32" s="1" t="s">
        <v>174</v>
      </c>
      <c r="B32" s="1" t="s">
        <v>175</v>
      </c>
      <c r="C32" s="1" t="s">
        <v>176</v>
      </c>
      <c r="D32" s="1" t="s">
        <v>41</v>
      </c>
      <c r="E32" s="1" t="s">
        <v>177</v>
      </c>
      <c r="F32" s="1" t="s">
        <v>178</v>
      </c>
      <c r="G32" s="1" t="s">
        <v>179</v>
      </c>
    </row>
    <row r="33" spans="1:7" x14ac:dyDescent="0.3">
      <c r="A33" s="1" t="s">
        <v>180</v>
      </c>
      <c r="B33" s="1" t="s">
        <v>181</v>
      </c>
      <c r="C33" s="1" t="s">
        <v>182</v>
      </c>
      <c r="D33" s="1" t="s">
        <v>60</v>
      </c>
      <c r="E33" s="1" t="s">
        <v>183</v>
      </c>
      <c r="F33" s="1" t="s">
        <v>68</v>
      </c>
      <c r="G33" s="1" t="s">
        <v>184</v>
      </c>
    </row>
    <row r="34" spans="1:7" x14ac:dyDescent="0.3">
      <c r="A34" s="1" t="s">
        <v>185</v>
      </c>
      <c r="B34" s="1" t="s">
        <v>186</v>
      </c>
      <c r="C34" s="1" t="s">
        <v>187</v>
      </c>
      <c r="D34" s="1" t="s">
        <v>41</v>
      </c>
      <c r="E34" s="1" t="s">
        <v>188</v>
      </c>
      <c r="F34" s="1" t="s">
        <v>68</v>
      </c>
      <c r="G34" s="1" t="s">
        <v>189</v>
      </c>
    </row>
    <row r="35" spans="1:7" x14ac:dyDescent="0.3">
      <c r="A35" s="1" t="s">
        <v>190</v>
      </c>
      <c r="B35" s="1" t="s">
        <v>191</v>
      </c>
      <c r="C35" s="1" t="s">
        <v>192</v>
      </c>
      <c r="D35" s="1" t="s">
        <v>111</v>
      </c>
      <c r="E35" s="1" t="s">
        <v>193</v>
      </c>
      <c r="F35" s="1" t="s">
        <v>113</v>
      </c>
      <c r="G35" s="1" t="s">
        <v>194</v>
      </c>
    </row>
    <row r="36" spans="1:7" x14ac:dyDescent="0.3">
      <c r="A36" s="1" t="s">
        <v>195</v>
      </c>
      <c r="B36" s="1" t="s">
        <v>196</v>
      </c>
      <c r="C36" s="1" t="s">
        <v>197</v>
      </c>
      <c r="D36" s="1" t="s">
        <v>60</v>
      </c>
      <c r="E36" s="1" t="s">
        <v>198</v>
      </c>
      <c r="F36" s="1" t="s">
        <v>199</v>
      </c>
      <c r="G36" s="1" t="s">
        <v>200</v>
      </c>
    </row>
    <row r="37" spans="1:7" x14ac:dyDescent="0.3">
      <c r="A37" s="1" t="s">
        <v>201</v>
      </c>
      <c r="B37" s="1" t="s">
        <v>202</v>
      </c>
      <c r="C37" s="1" t="s">
        <v>203</v>
      </c>
      <c r="D37" s="1" t="s">
        <v>24</v>
      </c>
      <c r="E37" s="1" t="s">
        <v>204</v>
      </c>
      <c r="F37" s="1" t="s">
        <v>205</v>
      </c>
      <c r="G37" s="1" t="s">
        <v>206</v>
      </c>
    </row>
    <row r="38" spans="1:7" x14ac:dyDescent="0.3">
      <c r="A38" s="1" t="s">
        <v>207</v>
      </c>
      <c r="B38" s="1" t="s">
        <v>208</v>
      </c>
      <c r="C38" s="1" t="s">
        <v>209</v>
      </c>
      <c r="D38" s="1" t="s">
        <v>78</v>
      </c>
      <c r="E38" s="1" t="s">
        <v>210</v>
      </c>
      <c r="F38" s="1" t="s">
        <v>113</v>
      </c>
      <c r="G38" s="1" t="s">
        <v>211</v>
      </c>
    </row>
    <row r="39" spans="1:7" x14ac:dyDescent="0.3">
      <c r="A39" s="1" t="s">
        <v>212</v>
      </c>
      <c r="B39" s="1" t="s">
        <v>213</v>
      </c>
      <c r="C39" s="1" t="s">
        <v>214</v>
      </c>
      <c r="D39" s="1" t="s">
        <v>17</v>
      </c>
      <c r="E39" s="1" t="s">
        <v>215</v>
      </c>
      <c r="F39" s="1" t="s">
        <v>205</v>
      </c>
      <c r="G39" s="1" t="s">
        <v>216</v>
      </c>
    </row>
    <row r="40" spans="1:7" x14ac:dyDescent="0.3">
      <c r="A40" s="1" t="s">
        <v>217</v>
      </c>
      <c r="B40" s="1" t="s">
        <v>218</v>
      </c>
      <c r="C40" s="1" t="s">
        <v>219</v>
      </c>
      <c r="D40" s="1" t="s">
        <v>17</v>
      </c>
      <c r="E40" s="1" t="s">
        <v>220</v>
      </c>
      <c r="F40" s="1" t="s">
        <v>199</v>
      </c>
      <c r="G40" s="1" t="s">
        <v>221</v>
      </c>
    </row>
    <row r="41" spans="1:7" x14ac:dyDescent="0.3">
      <c r="A41" s="1" t="s">
        <v>222</v>
      </c>
      <c r="B41" s="1" t="s">
        <v>223</v>
      </c>
      <c r="C41" s="1" t="s">
        <v>224</v>
      </c>
      <c r="D41" s="1" t="s">
        <v>111</v>
      </c>
      <c r="E41" s="1" t="s">
        <v>225</v>
      </c>
      <c r="F41" s="1" t="s">
        <v>226</v>
      </c>
      <c r="G41" s="1" t="s">
        <v>227</v>
      </c>
    </row>
    <row r="42" spans="1:7" x14ac:dyDescent="0.3">
      <c r="A42" s="1" t="s">
        <v>228</v>
      </c>
      <c r="B42" s="1" t="s">
        <v>229</v>
      </c>
      <c r="C42" s="1" t="s">
        <v>230</v>
      </c>
      <c r="D42" s="1" t="s">
        <v>60</v>
      </c>
      <c r="E42" s="1" t="s">
        <v>231</v>
      </c>
      <c r="F42" s="1" t="s">
        <v>36</v>
      </c>
      <c r="G42" s="1" t="s">
        <v>232</v>
      </c>
    </row>
    <row r="43" spans="1:7" x14ac:dyDescent="0.3">
      <c r="A43" s="1" t="s">
        <v>233</v>
      </c>
      <c r="B43" s="1" t="s">
        <v>234</v>
      </c>
      <c r="C43" s="1" t="s">
        <v>235</v>
      </c>
      <c r="D43" s="1" t="s">
        <v>111</v>
      </c>
      <c r="E43" s="1" t="s">
        <v>236</v>
      </c>
      <c r="F43" s="1" t="s">
        <v>55</v>
      </c>
      <c r="G43" s="1" t="s">
        <v>237</v>
      </c>
    </row>
    <row r="44" spans="1:7" x14ac:dyDescent="0.3">
      <c r="A44" s="1" t="s">
        <v>238</v>
      </c>
      <c r="B44" s="1" t="s">
        <v>239</v>
      </c>
      <c r="C44" s="1" t="s">
        <v>240</v>
      </c>
      <c r="D44" s="1" t="s">
        <v>17</v>
      </c>
      <c r="E44" s="1" t="s">
        <v>241</v>
      </c>
      <c r="F44" s="1" t="s">
        <v>62</v>
      </c>
      <c r="G44" s="1" t="s">
        <v>242</v>
      </c>
    </row>
    <row r="45" spans="1:7" x14ac:dyDescent="0.3">
      <c r="A45" s="1" t="s">
        <v>243</v>
      </c>
      <c r="B45" s="1" t="s">
        <v>244</v>
      </c>
      <c r="C45" s="1" t="s">
        <v>245</v>
      </c>
      <c r="D45" s="1" t="s">
        <v>41</v>
      </c>
      <c r="E45" s="1" t="s">
        <v>246</v>
      </c>
      <c r="F45" s="1" t="s">
        <v>62</v>
      </c>
      <c r="G45" s="1" t="s">
        <v>247</v>
      </c>
    </row>
    <row r="46" spans="1:7" x14ac:dyDescent="0.3">
      <c r="A46" s="1" t="s">
        <v>248</v>
      </c>
      <c r="B46" s="1" t="s">
        <v>249</v>
      </c>
      <c r="C46" s="1" t="s">
        <v>250</v>
      </c>
      <c r="D46" s="1" t="s">
        <v>142</v>
      </c>
      <c r="E46" s="1" t="s">
        <v>251</v>
      </c>
      <c r="F46" s="1" t="s">
        <v>80</v>
      </c>
      <c r="G46" s="1" t="s">
        <v>252</v>
      </c>
    </row>
    <row r="47" spans="1:7" x14ac:dyDescent="0.3">
      <c r="A47" s="1" t="s">
        <v>253</v>
      </c>
      <c r="B47" s="1" t="s">
        <v>254</v>
      </c>
      <c r="C47" s="1" t="s">
        <v>255</v>
      </c>
      <c r="D47" s="1" t="s">
        <v>60</v>
      </c>
      <c r="E47" s="1" t="s">
        <v>256</v>
      </c>
      <c r="F47" s="1" t="s">
        <v>199</v>
      </c>
      <c r="G47" s="1" t="s">
        <v>257</v>
      </c>
    </row>
    <row r="48" spans="1:7" x14ac:dyDescent="0.3">
      <c r="A48" s="1" t="s">
        <v>258</v>
      </c>
      <c r="B48" s="1" t="s">
        <v>259</v>
      </c>
      <c r="C48" s="1" t="s">
        <v>260</v>
      </c>
      <c r="D48" s="1" t="s">
        <v>17</v>
      </c>
      <c r="E48" s="1" t="s">
        <v>261</v>
      </c>
      <c r="F48" s="1" t="s">
        <v>55</v>
      </c>
      <c r="G48" s="1" t="s">
        <v>262</v>
      </c>
    </row>
    <row r="49" spans="1:7" x14ac:dyDescent="0.3">
      <c r="A49" s="1" t="s">
        <v>263</v>
      </c>
      <c r="B49" s="1" t="s">
        <v>264</v>
      </c>
      <c r="C49" s="1" t="s">
        <v>265</v>
      </c>
      <c r="D49" s="1" t="s">
        <v>24</v>
      </c>
      <c r="E49" s="1" t="s">
        <v>266</v>
      </c>
      <c r="F49" s="1" t="s">
        <v>199</v>
      </c>
      <c r="G49" s="1" t="s">
        <v>267</v>
      </c>
    </row>
    <row r="50" spans="1:7" x14ac:dyDescent="0.3">
      <c r="A50" s="1" t="s">
        <v>268</v>
      </c>
      <c r="B50" s="1" t="s">
        <v>269</v>
      </c>
      <c r="C50" s="1" t="s">
        <v>270</v>
      </c>
      <c r="D50" s="1" t="s">
        <v>78</v>
      </c>
      <c r="E50" s="1" t="s">
        <v>271</v>
      </c>
      <c r="F50" s="1" t="s">
        <v>205</v>
      </c>
      <c r="G50" s="1" t="s">
        <v>272</v>
      </c>
    </row>
    <row r="51" spans="1:7" x14ac:dyDescent="0.3">
      <c r="A51" s="1" t="s">
        <v>273</v>
      </c>
      <c r="B51" s="1" t="s">
        <v>274</v>
      </c>
      <c r="C51" s="1" t="s">
        <v>275</v>
      </c>
      <c r="D51" s="1" t="s">
        <v>24</v>
      </c>
      <c r="E51" s="1" t="s">
        <v>276</v>
      </c>
      <c r="F51" s="1" t="s">
        <v>205</v>
      </c>
      <c r="G51" s="1" t="s">
        <v>277</v>
      </c>
    </row>
    <row r="52" spans="1:7" x14ac:dyDescent="0.3">
      <c r="A52" s="1" t="s">
        <v>278</v>
      </c>
      <c r="B52" s="1" t="s">
        <v>279</v>
      </c>
      <c r="C52" s="1" t="s">
        <v>280</v>
      </c>
      <c r="D52" s="1" t="s">
        <v>41</v>
      </c>
      <c r="E52" s="1" t="s">
        <v>281</v>
      </c>
      <c r="F52" s="1" t="s">
        <v>199</v>
      </c>
      <c r="G52" s="1" t="s">
        <v>282</v>
      </c>
    </row>
    <row r="53" spans="1:7" x14ac:dyDescent="0.3">
      <c r="A53" s="1" t="s">
        <v>283</v>
      </c>
      <c r="B53" s="1" t="s">
        <v>284</v>
      </c>
      <c r="C53" s="1" t="s">
        <v>285</v>
      </c>
      <c r="D53" s="1" t="s">
        <v>60</v>
      </c>
      <c r="E53" s="1" t="s">
        <v>286</v>
      </c>
      <c r="F53" s="1" t="s">
        <v>172</v>
      </c>
      <c r="G53" s="1" t="s">
        <v>287</v>
      </c>
    </row>
    <row r="54" spans="1:7" x14ac:dyDescent="0.3">
      <c r="A54" s="1" t="s">
        <v>288</v>
      </c>
      <c r="B54" s="1" t="s">
        <v>289</v>
      </c>
      <c r="C54" s="1" t="s">
        <v>290</v>
      </c>
      <c r="D54" s="1" t="s">
        <v>89</v>
      </c>
      <c r="E54" s="1" t="s">
        <v>291</v>
      </c>
      <c r="F54" s="1" t="s">
        <v>292</v>
      </c>
      <c r="G54" s="1" t="s">
        <v>293</v>
      </c>
    </row>
    <row r="55" spans="1:7" x14ac:dyDescent="0.3">
      <c r="A55" s="1" t="s">
        <v>294</v>
      </c>
      <c r="B55" s="1" t="s">
        <v>295</v>
      </c>
      <c r="C55" s="1" t="s">
        <v>296</v>
      </c>
      <c r="D55" s="1" t="s">
        <v>142</v>
      </c>
      <c r="E55" s="1" t="s">
        <v>297</v>
      </c>
      <c r="F55" s="1" t="s">
        <v>80</v>
      </c>
      <c r="G55" s="1" t="s">
        <v>298</v>
      </c>
    </row>
    <row r="56" spans="1:7" x14ac:dyDescent="0.3">
      <c r="A56" s="1" t="s">
        <v>299</v>
      </c>
      <c r="B56" s="1" t="s">
        <v>300</v>
      </c>
      <c r="C56" s="1" t="s">
        <v>301</v>
      </c>
      <c r="D56" s="1" t="s">
        <v>142</v>
      </c>
      <c r="E56" s="1" t="s">
        <v>302</v>
      </c>
      <c r="F56" s="1" t="s">
        <v>55</v>
      </c>
      <c r="G56" s="1" t="s">
        <v>303</v>
      </c>
    </row>
    <row r="57" spans="1:7" x14ac:dyDescent="0.3">
      <c r="A57" s="1" t="s">
        <v>304</v>
      </c>
      <c r="B57" s="1" t="s">
        <v>305</v>
      </c>
      <c r="C57" s="1" t="s">
        <v>306</v>
      </c>
      <c r="D57" s="1" t="s">
        <v>111</v>
      </c>
      <c r="E57" s="1" t="s">
        <v>35</v>
      </c>
      <c r="F57" s="1" t="s">
        <v>36</v>
      </c>
      <c r="G57" s="1" t="s">
        <v>307</v>
      </c>
    </row>
    <row r="58" spans="1:7" x14ac:dyDescent="0.3">
      <c r="A58" s="1" t="s">
        <v>308</v>
      </c>
      <c r="B58" s="1" t="s">
        <v>309</v>
      </c>
      <c r="C58" s="1" t="s">
        <v>310</v>
      </c>
      <c r="D58" s="1" t="s">
        <v>89</v>
      </c>
      <c r="E58" s="1" t="s">
        <v>90</v>
      </c>
      <c r="F58" s="1" t="s">
        <v>91</v>
      </c>
      <c r="G58" s="1" t="s">
        <v>311</v>
      </c>
    </row>
    <row r="59" spans="1:7" x14ac:dyDescent="0.3">
      <c r="A59" s="1" t="s">
        <v>312</v>
      </c>
      <c r="B59" s="1" t="s">
        <v>313</v>
      </c>
      <c r="C59" s="1" t="s">
        <v>314</v>
      </c>
      <c r="D59" s="1" t="s">
        <v>17</v>
      </c>
      <c r="E59" s="1" t="s">
        <v>315</v>
      </c>
      <c r="F59" s="1" t="s">
        <v>199</v>
      </c>
      <c r="G59" s="1" t="s">
        <v>316</v>
      </c>
    </row>
    <row r="60" spans="1:7" x14ac:dyDescent="0.3">
      <c r="A60" s="1" t="s">
        <v>317</v>
      </c>
      <c r="B60" s="1" t="s">
        <v>318</v>
      </c>
      <c r="C60" s="1" t="s">
        <v>319</v>
      </c>
      <c r="D60" s="1" t="s">
        <v>24</v>
      </c>
      <c r="E60" s="1" t="s">
        <v>320</v>
      </c>
      <c r="F60" s="1" t="s">
        <v>55</v>
      </c>
      <c r="G60" s="1" t="s">
        <v>321</v>
      </c>
    </row>
    <row r="61" spans="1:7" x14ac:dyDescent="0.3">
      <c r="A61" s="1" t="s">
        <v>322</v>
      </c>
      <c r="B61" s="1" t="s">
        <v>323</v>
      </c>
      <c r="C61" s="1" t="s">
        <v>324</v>
      </c>
      <c r="D61" s="1" t="s">
        <v>24</v>
      </c>
      <c r="E61" s="1" t="s">
        <v>325</v>
      </c>
      <c r="F61" s="1" t="s">
        <v>62</v>
      </c>
      <c r="G61" s="1" t="s">
        <v>326</v>
      </c>
    </row>
    <row r="62" spans="1:7" x14ac:dyDescent="0.3">
      <c r="A62" s="1" t="s">
        <v>327</v>
      </c>
      <c r="B62" s="1" t="s">
        <v>328</v>
      </c>
      <c r="C62" s="1" t="s">
        <v>329</v>
      </c>
      <c r="D62" s="1" t="s">
        <v>17</v>
      </c>
      <c r="E62" s="1" t="s">
        <v>25</v>
      </c>
      <c r="F62" s="1" t="s">
        <v>26</v>
      </c>
      <c r="G62" s="1" t="s">
        <v>330</v>
      </c>
    </row>
    <row r="63" spans="1:7" x14ac:dyDescent="0.3">
      <c r="A63" s="1" t="s">
        <v>331</v>
      </c>
      <c r="B63" s="1" t="s">
        <v>332</v>
      </c>
      <c r="C63" s="1" t="s">
        <v>333</v>
      </c>
      <c r="D63" s="1" t="s">
        <v>41</v>
      </c>
      <c r="E63" s="1" t="s">
        <v>334</v>
      </c>
      <c r="F63" s="1" t="s">
        <v>137</v>
      </c>
      <c r="G63" s="1" t="s">
        <v>335</v>
      </c>
    </row>
    <row r="64" spans="1:7" x14ac:dyDescent="0.3">
      <c r="A64" s="1" t="s">
        <v>336</v>
      </c>
      <c r="B64" s="1" t="s">
        <v>337</v>
      </c>
      <c r="C64" s="1" t="s">
        <v>338</v>
      </c>
      <c r="D64" s="1" t="s">
        <v>17</v>
      </c>
      <c r="E64" s="1" t="s">
        <v>177</v>
      </c>
      <c r="F64" s="1" t="s">
        <v>178</v>
      </c>
      <c r="G64" s="1" t="s">
        <v>339</v>
      </c>
    </row>
    <row r="65" spans="1:7" x14ac:dyDescent="0.3">
      <c r="A65" s="1" t="s">
        <v>340</v>
      </c>
      <c r="B65" s="1" t="s">
        <v>341</v>
      </c>
      <c r="C65" s="1" t="s">
        <v>342</v>
      </c>
      <c r="D65" s="1" t="s">
        <v>78</v>
      </c>
      <c r="E65" s="1" t="s">
        <v>210</v>
      </c>
      <c r="F65" s="1" t="s">
        <v>113</v>
      </c>
      <c r="G65" s="1" t="s">
        <v>343</v>
      </c>
    </row>
    <row r="66" spans="1:7" x14ac:dyDescent="0.3">
      <c r="A66" s="1" t="s">
        <v>344</v>
      </c>
      <c r="B66" s="1" t="s">
        <v>345</v>
      </c>
      <c r="C66" s="1" t="s">
        <v>346</v>
      </c>
      <c r="D66" s="1" t="s">
        <v>142</v>
      </c>
      <c r="E66" s="1" t="s">
        <v>112</v>
      </c>
      <c r="F66" s="1" t="s">
        <v>113</v>
      </c>
      <c r="G66" s="1" t="s">
        <v>347</v>
      </c>
    </row>
    <row r="67" spans="1:7" x14ac:dyDescent="0.3">
      <c r="A67" s="1" t="s">
        <v>348</v>
      </c>
      <c r="B67" s="1" t="s">
        <v>349</v>
      </c>
      <c r="C67" s="1" t="s">
        <v>350</v>
      </c>
      <c r="D67" s="1" t="s">
        <v>78</v>
      </c>
      <c r="E67" s="1" t="s">
        <v>351</v>
      </c>
      <c r="F67" s="1" t="s">
        <v>55</v>
      </c>
      <c r="G67" s="1" t="s">
        <v>352</v>
      </c>
    </row>
    <row r="68" spans="1:7" x14ac:dyDescent="0.3">
      <c r="A68" s="1" t="s">
        <v>353</v>
      </c>
      <c r="B68" s="1" t="s">
        <v>354</v>
      </c>
      <c r="C68" s="1" t="s">
        <v>355</v>
      </c>
      <c r="D68" s="1" t="s">
        <v>17</v>
      </c>
      <c r="E68" s="1" t="s">
        <v>90</v>
      </c>
      <c r="F68" s="1" t="s">
        <v>91</v>
      </c>
      <c r="G68" s="1" t="s">
        <v>356</v>
      </c>
    </row>
    <row r="69" spans="1:7" x14ac:dyDescent="0.3">
      <c r="A69" s="1" t="s">
        <v>357</v>
      </c>
      <c r="B69" s="1" t="s">
        <v>358</v>
      </c>
      <c r="C69" s="1" t="s">
        <v>359</v>
      </c>
      <c r="D69" s="1" t="s">
        <v>360</v>
      </c>
      <c r="E69" s="1" t="s">
        <v>361</v>
      </c>
      <c r="F69" s="1" t="s">
        <v>199</v>
      </c>
      <c r="G69" s="1" t="s">
        <v>362</v>
      </c>
    </row>
    <row r="70" spans="1:7" x14ac:dyDescent="0.3">
      <c r="A70" s="1" t="s">
        <v>363</v>
      </c>
      <c r="B70" s="1" t="s">
        <v>364</v>
      </c>
      <c r="C70" s="1" t="s">
        <v>365</v>
      </c>
      <c r="D70" s="1" t="s">
        <v>111</v>
      </c>
      <c r="E70" s="1" t="s">
        <v>366</v>
      </c>
      <c r="F70" s="1" t="s">
        <v>172</v>
      </c>
      <c r="G70" s="1" t="s">
        <v>367</v>
      </c>
    </row>
    <row r="71" spans="1:7" x14ac:dyDescent="0.3">
      <c r="A71" s="1" t="s">
        <v>368</v>
      </c>
      <c r="B71" s="1" t="s">
        <v>369</v>
      </c>
      <c r="C71" s="1" t="s">
        <v>370</v>
      </c>
      <c r="D71" s="1" t="s">
        <v>151</v>
      </c>
      <c r="E71" s="1" t="s">
        <v>210</v>
      </c>
      <c r="F71" s="1" t="s">
        <v>113</v>
      </c>
      <c r="G71" s="1" t="s">
        <v>371</v>
      </c>
    </row>
    <row r="72" spans="1:7" x14ac:dyDescent="0.3">
      <c r="A72" s="1" t="s">
        <v>372</v>
      </c>
      <c r="B72" s="1" t="s">
        <v>373</v>
      </c>
      <c r="C72" s="1" t="s">
        <v>374</v>
      </c>
      <c r="D72" s="1" t="s">
        <v>41</v>
      </c>
      <c r="E72" s="1" t="s">
        <v>375</v>
      </c>
      <c r="F72" s="1" t="s">
        <v>106</v>
      </c>
      <c r="G72" s="1" t="s">
        <v>376</v>
      </c>
    </row>
    <row r="73" spans="1:7" x14ac:dyDescent="0.3">
      <c r="A73" s="1" t="s">
        <v>377</v>
      </c>
      <c r="B73" s="1" t="s">
        <v>378</v>
      </c>
      <c r="C73" s="1" t="s">
        <v>379</v>
      </c>
      <c r="D73" s="1" t="s">
        <v>78</v>
      </c>
      <c r="E73" s="1" t="s">
        <v>67</v>
      </c>
      <c r="F73" s="1" t="s">
        <v>68</v>
      </c>
      <c r="G73" s="1" t="s">
        <v>380</v>
      </c>
    </row>
    <row r="74" spans="1:7" x14ac:dyDescent="0.3">
      <c r="A74" s="1" t="s">
        <v>381</v>
      </c>
      <c r="B74" s="1" t="s">
        <v>382</v>
      </c>
      <c r="C74" s="1" t="s">
        <v>383</v>
      </c>
      <c r="D74" s="1" t="s">
        <v>24</v>
      </c>
      <c r="E74" s="1" t="s">
        <v>384</v>
      </c>
      <c r="F74" s="1" t="s">
        <v>385</v>
      </c>
      <c r="G74" s="1" t="s">
        <v>386</v>
      </c>
    </row>
    <row r="75" spans="1:7" x14ac:dyDescent="0.3">
      <c r="A75" s="1" t="s">
        <v>387</v>
      </c>
      <c r="B75" s="1" t="s">
        <v>388</v>
      </c>
      <c r="C75" s="1" t="s">
        <v>389</v>
      </c>
      <c r="D75" s="1" t="s">
        <v>17</v>
      </c>
      <c r="E75" s="1" t="s">
        <v>390</v>
      </c>
      <c r="F75" s="1" t="s">
        <v>199</v>
      </c>
      <c r="G75" s="1" t="s">
        <v>391</v>
      </c>
    </row>
    <row r="76" spans="1:7" x14ac:dyDescent="0.3">
      <c r="A76" s="1" t="s">
        <v>392</v>
      </c>
      <c r="B76" s="1" t="s">
        <v>393</v>
      </c>
      <c r="C76" s="1" t="s">
        <v>394</v>
      </c>
      <c r="D76" s="1" t="s">
        <v>78</v>
      </c>
      <c r="E76" s="1" t="s">
        <v>395</v>
      </c>
      <c r="F76" s="1" t="s">
        <v>19</v>
      </c>
      <c r="G76" s="1" t="s">
        <v>396</v>
      </c>
    </row>
    <row r="77" spans="1:7" x14ac:dyDescent="0.3">
      <c r="A77" s="1" t="s">
        <v>397</v>
      </c>
      <c r="B77" s="1" t="s">
        <v>398</v>
      </c>
      <c r="C77" s="1" t="s">
        <v>399</v>
      </c>
      <c r="D77" s="1" t="s">
        <v>41</v>
      </c>
      <c r="E77" s="1" t="s">
        <v>35</v>
      </c>
      <c r="F77" s="1" t="s">
        <v>36</v>
      </c>
      <c r="G77" s="1" t="s">
        <v>400</v>
      </c>
    </row>
    <row r="78" spans="1:7" x14ac:dyDescent="0.3">
      <c r="A78" s="1" t="s">
        <v>401</v>
      </c>
      <c r="B78" s="1" t="s">
        <v>402</v>
      </c>
      <c r="C78" s="1" t="s">
        <v>403</v>
      </c>
      <c r="D78" s="1" t="s">
        <v>24</v>
      </c>
      <c r="E78" s="1" t="s">
        <v>404</v>
      </c>
      <c r="F78" s="1" t="s">
        <v>405</v>
      </c>
      <c r="G78" s="1" t="s">
        <v>406</v>
      </c>
    </row>
    <row r="79" spans="1:7" x14ac:dyDescent="0.3">
      <c r="A79" s="1" t="s">
        <v>407</v>
      </c>
      <c r="B79" s="1" t="s">
        <v>408</v>
      </c>
      <c r="C79" s="1" t="s">
        <v>409</v>
      </c>
      <c r="D79" s="1" t="s">
        <v>60</v>
      </c>
      <c r="E79" s="1" t="s">
        <v>325</v>
      </c>
      <c r="F79" s="1" t="s">
        <v>62</v>
      </c>
      <c r="G79" s="1" t="s">
        <v>410</v>
      </c>
    </row>
    <row r="80" spans="1:7" x14ac:dyDescent="0.3">
      <c r="A80" s="1" t="s">
        <v>411</v>
      </c>
      <c r="B80" s="1" t="s">
        <v>412</v>
      </c>
      <c r="C80" s="1" t="s">
        <v>413</v>
      </c>
      <c r="D80" s="1" t="s">
        <v>41</v>
      </c>
      <c r="E80" s="1" t="s">
        <v>414</v>
      </c>
      <c r="F80" s="1" t="s">
        <v>199</v>
      </c>
      <c r="G80" s="1" t="s">
        <v>415</v>
      </c>
    </row>
    <row r="81" spans="1:7" x14ac:dyDescent="0.3">
      <c r="A81" s="1" t="s">
        <v>416</v>
      </c>
      <c r="B81" s="1" t="s">
        <v>417</v>
      </c>
      <c r="C81" s="1" t="s">
        <v>418</v>
      </c>
      <c r="D81" s="1" t="s">
        <v>78</v>
      </c>
      <c r="E81" s="1" t="s">
        <v>419</v>
      </c>
      <c r="F81" s="1" t="s">
        <v>292</v>
      </c>
      <c r="G81" s="1" t="s">
        <v>420</v>
      </c>
    </row>
    <row r="82" spans="1:7" x14ac:dyDescent="0.3">
      <c r="A82" s="1" t="s">
        <v>421</v>
      </c>
      <c r="B82" s="1" t="s">
        <v>422</v>
      </c>
      <c r="C82" s="1" t="s">
        <v>423</v>
      </c>
      <c r="D82" s="1" t="s">
        <v>17</v>
      </c>
      <c r="E82" s="1" t="s">
        <v>395</v>
      </c>
      <c r="F82" s="1" t="s">
        <v>19</v>
      </c>
      <c r="G82" s="1" t="s">
        <v>424</v>
      </c>
    </row>
    <row r="83" spans="1:7" x14ac:dyDescent="0.3">
      <c r="A83" s="1" t="s">
        <v>425</v>
      </c>
      <c r="B83" s="1" t="s">
        <v>426</v>
      </c>
      <c r="C83" s="1" t="s">
        <v>427</v>
      </c>
      <c r="D83" s="1" t="s">
        <v>41</v>
      </c>
      <c r="E83" s="1" t="s">
        <v>428</v>
      </c>
      <c r="F83" s="1" t="s">
        <v>19</v>
      </c>
      <c r="G83" s="1" t="s">
        <v>429</v>
      </c>
    </row>
    <row r="84" spans="1:7" x14ac:dyDescent="0.3">
      <c r="A84" s="1" t="s">
        <v>430</v>
      </c>
      <c r="B84" s="1" t="s">
        <v>431</v>
      </c>
      <c r="C84" s="1" t="s">
        <v>432</v>
      </c>
      <c r="D84" s="1" t="s">
        <v>60</v>
      </c>
      <c r="E84" s="1" t="s">
        <v>281</v>
      </c>
      <c r="F84" s="1" t="s">
        <v>199</v>
      </c>
      <c r="G84" s="1" t="s">
        <v>433</v>
      </c>
    </row>
    <row r="85" spans="1:7" x14ac:dyDescent="0.3">
      <c r="A85" s="1" t="s">
        <v>434</v>
      </c>
      <c r="B85" s="1" t="s">
        <v>435</v>
      </c>
      <c r="C85" s="1" t="s">
        <v>436</v>
      </c>
      <c r="D85" s="1" t="s">
        <v>142</v>
      </c>
      <c r="E85" s="1" t="s">
        <v>437</v>
      </c>
      <c r="F85" s="1" t="s">
        <v>199</v>
      </c>
      <c r="G85" s="1" t="s">
        <v>438</v>
      </c>
    </row>
    <row r="86" spans="1:7" x14ac:dyDescent="0.3">
      <c r="A86" s="1" t="s">
        <v>439</v>
      </c>
      <c r="B86" s="1" t="s">
        <v>440</v>
      </c>
      <c r="C86" s="1" t="s">
        <v>441</v>
      </c>
      <c r="D86" s="1" t="s">
        <v>60</v>
      </c>
      <c r="E86" s="1" t="s">
        <v>442</v>
      </c>
      <c r="F86" s="1" t="s">
        <v>55</v>
      </c>
      <c r="G86" s="1" t="s">
        <v>443</v>
      </c>
    </row>
    <row r="87" spans="1:7" x14ac:dyDescent="0.3">
      <c r="A87" s="1" t="s">
        <v>444</v>
      </c>
      <c r="B87" s="1" t="s">
        <v>445</v>
      </c>
      <c r="C87" s="1" t="s">
        <v>446</v>
      </c>
      <c r="D87" s="1" t="s">
        <v>24</v>
      </c>
      <c r="E87" s="1" t="s">
        <v>25</v>
      </c>
      <c r="F87" s="1" t="s">
        <v>26</v>
      </c>
      <c r="G87" s="1" t="s">
        <v>447</v>
      </c>
    </row>
    <row r="88" spans="1:7" x14ac:dyDescent="0.3">
      <c r="A88" s="1" t="s">
        <v>448</v>
      </c>
      <c r="B88" s="1" t="s">
        <v>449</v>
      </c>
      <c r="C88" s="1" t="s">
        <v>450</v>
      </c>
      <c r="D88" s="1" t="s">
        <v>17</v>
      </c>
      <c r="E88" s="1" t="s">
        <v>112</v>
      </c>
      <c r="F88" s="1" t="s">
        <v>113</v>
      </c>
      <c r="G88" s="1" t="s">
        <v>451</v>
      </c>
    </row>
    <row r="89" spans="1:7" x14ac:dyDescent="0.3">
      <c r="A89" s="1" t="s">
        <v>452</v>
      </c>
      <c r="B89" s="1" t="s">
        <v>453</v>
      </c>
      <c r="C89" s="1" t="s">
        <v>454</v>
      </c>
      <c r="D89" s="1" t="s">
        <v>111</v>
      </c>
      <c r="E89" s="1" t="s">
        <v>455</v>
      </c>
      <c r="F89" s="1" t="s">
        <v>199</v>
      </c>
      <c r="G89" s="1" t="s">
        <v>456</v>
      </c>
    </row>
    <row r="90" spans="1:7" x14ac:dyDescent="0.3">
      <c r="A90" s="1" t="s">
        <v>457</v>
      </c>
      <c r="B90" s="1" t="s">
        <v>458</v>
      </c>
      <c r="C90" s="1" t="s">
        <v>459</v>
      </c>
      <c r="D90" s="1" t="s">
        <v>41</v>
      </c>
      <c r="E90" s="1" t="s">
        <v>460</v>
      </c>
      <c r="F90" s="1" t="s">
        <v>405</v>
      </c>
      <c r="G90" s="1" t="s">
        <v>461</v>
      </c>
    </row>
    <row r="91" spans="1:7" x14ac:dyDescent="0.3">
      <c r="A91" s="1" t="s">
        <v>462</v>
      </c>
      <c r="B91" s="1" t="s">
        <v>463</v>
      </c>
      <c r="C91" s="1" t="s">
        <v>464</v>
      </c>
      <c r="D91" s="1" t="s">
        <v>89</v>
      </c>
      <c r="E91" s="1" t="s">
        <v>465</v>
      </c>
      <c r="F91" s="1" t="s">
        <v>62</v>
      </c>
      <c r="G91" s="1" t="s">
        <v>466</v>
      </c>
    </row>
    <row r="92" spans="1:7" x14ac:dyDescent="0.3">
      <c r="A92" s="1" t="s">
        <v>467</v>
      </c>
      <c r="B92" s="1" t="s">
        <v>468</v>
      </c>
      <c r="C92" s="1" t="s">
        <v>469</v>
      </c>
      <c r="D92" s="1" t="s">
        <v>78</v>
      </c>
      <c r="E92" s="1" t="s">
        <v>470</v>
      </c>
      <c r="F92" s="1" t="s">
        <v>62</v>
      </c>
      <c r="G92" s="1" t="s">
        <v>471</v>
      </c>
    </row>
    <row r="93" spans="1:7" x14ac:dyDescent="0.3">
      <c r="A93" s="1" t="s">
        <v>472</v>
      </c>
      <c r="B93" s="1" t="s">
        <v>473</v>
      </c>
      <c r="C93" s="1" t="s">
        <v>474</v>
      </c>
      <c r="D93" s="1" t="s">
        <v>17</v>
      </c>
      <c r="E93" s="1" t="s">
        <v>475</v>
      </c>
      <c r="F93" s="1" t="s">
        <v>55</v>
      </c>
      <c r="G93" s="1" t="s">
        <v>476</v>
      </c>
    </row>
    <row r="94" spans="1:7" x14ac:dyDescent="0.3">
      <c r="A94" s="1" t="s">
        <v>477</v>
      </c>
      <c r="B94" s="1" t="s">
        <v>478</v>
      </c>
      <c r="C94" s="1" t="s">
        <v>479</v>
      </c>
      <c r="D94" s="1" t="s">
        <v>78</v>
      </c>
      <c r="E94" s="1" t="s">
        <v>480</v>
      </c>
      <c r="F94" s="1" t="s">
        <v>481</v>
      </c>
      <c r="G94" s="1" t="s">
        <v>482</v>
      </c>
    </row>
    <row r="95" spans="1:7" x14ac:dyDescent="0.3">
      <c r="A95" s="1" t="s">
        <v>483</v>
      </c>
      <c r="B95" s="1" t="s">
        <v>484</v>
      </c>
      <c r="C95" s="1" t="s">
        <v>485</v>
      </c>
      <c r="D95" s="1" t="s">
        <v>41</v>
      </c>
      <c r="E95" s="1" t="s">
        <v>486</v>
      </c>
      <c r="F95" s="1" t="s">
        <v>113</v>
      </c>
      <c r="G95" s="1" t="s">
        <v>487</v>
      </c>
    </row>
    <row r="96" spans="1:7" x14ac:dyDescent="0.3">
      <c r="A96" s="1" t="s">
        <v>488</v>
      </c>
      <c r="B96" s="1" t="s">
        <v>489</v>
      </c>
      <c r="C96" s="1" t="s">
        <v>490</v>
      </c>
      <c r="D96" s="1" t="s">
        <v>24</v>
      </c>
      <c r="E96" s="1" t="s">
        <v>491</v>
      </c>
      <c r="F96" s="1" t="s">
        <v>199</v>
      </c>
      <c r="G96" s="1" t="s">
        <v>492</v>
      </c>
    </row>
    <row r="97" spans="1:7" x14ac:dyDescent="0.3">
      <c r="A97" s="1" t="s">
        <v>493</v>
      </c>
      <c r="B97" s="1" t="s">
        <v>494</v>
      </c>
      <c r="C97" s="1" t="s">
        <v>495</v>
      </c>
      <c r="D97" s="1" t="s">
        <v>496</v>
      </c>
      <c r="E97" s="1" t="s">
        <v>497</v>
      </c>
      <c r="F97" s="1" t="s">
        <v>481</v>
      </c>
      <c r="G97" s="1" t="s">
        <v>498</v>
      </c>
    </row>
    <row r="98" spans="1:7" x14ac:dyDescent="0.3">
      <c r="A98" s="1" t="s">
        <v>499</v>
      </c>
      <c r="B98" s="1" t="s">
        <v>500</v>
      </c>
      <c r="C98" s="1" t="s">
        <v>501</v>
      </c>
      <c r="D98" s="1" t="s">
        <v>24</v>
      </c>
      <c r="E98" s="1" t="s">
        <v>502</v>
      </c>
      <c r="F98" s="1" t="s">
        <v>503</v>
      </c>
      <c r="G98" s="1" t="s">
        <v>504</v>
      </c>
    </row>
    <row r="99" spans="1:7" x14ac:dyDescent="0.3">
      <c r="A99" s="1" t="s">
        <v>505</v>
      </c>
      <c r="B99" s="1" t="s">
        <v>506</v>
      </c>
      <c r="C99" s="1" t="s">
        <v>507</v>
      </c>
      <c r="D99" s="1" t="s">
        <v>17</v>
      </c>
      <c r="E99" s="1" t="s">
        <v>508</v>
      </c>
      <c r="F99" s="1" t="s">
        <v>19</v>
      </c>
      <c r="G99" s="1" t="s">
        <v>509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B14F-9BF8-47A9-9B10-2BBA2493FBDB}">
  <dimension ref="A1:H78"/>
  <sheetViews>
    <sheetView workbookViewId="0">
      <selection activeCell="B42" sqref="B42:F43"/>
    </sheetView>
  </sheetViews>
  <sheetFormatPr defaultRowHeight="13.75" x14ac:dyDescent="0.3"/>
  <cols>
    <col min="1" max="1" width="15.5" bestFit="1" customWidth="1"/>
    <col min="2" max="2" width="28.640625" bestFit="1" customWidth="1"/>
    <col min="3" max="3" width="13" bestFit="1" customWidth="1"/>
    <col min="4" max="4" width="7.0703125" bestFit="1" customWidth="1"/>
    <col min="5" max="5" width="11.5703125" bestFit="1" customWidth="1"/>
    <col min="6" max="7" width="15.28515625" bestFit="1" customWidth="1"/>
    <col min="8" max="8" width="15.35546875" bestFit="1" customWidth="1"/>
  </cols>
  <sheetData>
    <row r="1" spans="1:8" x14ac:dyDescent="0.3">
      <c r="A1" t="s">
        <v>510</v>
      </c>
      <c r="B1" t="s">
        <v>511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</row>
    <row r="2" spans="1:8" x14ac:dyDescent="0.3">
      <c r="A2" s="1" t="s">
        <v>518</v>
      </c>
      <c r="B2" s="1" t="s">
        <v>519</v>
      </c>
      <c r="C2">
        <v>4</v>
      </c>
      <c r="D2">
        <v>16.54</v>
      </c>
      <c r="E2">
        <v>18</v>
      </c>
      <c r="F2">
        <v>39</v>
      </c>
      <c r="G2">
        <v>10</v>
      </c>
      <c r="H2" t="b">
        <v>0</v>
      </c>
    </row>
    <row r="3" spans="1:8" x14ac:dyDescent="0.3">
      <c r="A3" s="1" t="s">
        <v>520</v>
      </c>
      <c r="B3" s="1" t="s">
        <v>521</v>
      </c>
      <c r="C3">
        <v>1</v>
      </c>
      <c r="D3">
        <v>14.25</v>
      </c>
      <c r="E3">
        <v>19</v>
      </c>
      <c r="F3">
        <v>17</v>
      </c>
      <c r="G3">
        <v>25</v>
      </c>
      <c r="H3" t="b">
        <v>0</v>
      </c>
    </row>
    <row r="4" spans="1:8" x14ac:dyDescent="0.3">
      <c r="A4" s="1" t="s">
        <v>522</v>
      </c>
      <c r="B4" s="1" t="s">
        <v>523</v>
      </c>
      <c r="C4">
        <v>10</v>
      </c>
      <c r="D4">
        <v>3.32</v>
      </c>
      <c r="E4">
        <v>4.5</v>
      </c>
      <c r="F4">
        <v>20</v>
      </c>
      <c r="G4">
        <v>0</v>
      </c>
      <c r="H4" t="b">
        <v>1</v>
      </c>
    </row>
    <row r="5" spans="1:8" x14ac:dyDescent="0.3">
      <c r="A5" s="1" t="s">
        <v>524</v>
      </c>
      <c r="B5" s="1" t="s">
        <v>525</v>
      </c>
      <c r="C5">
        <v>23</v>
      </c>
      <c r="D5">
        <v>14.54</v>
      </c>
      <c r="E5">
        <v>18</v>
      </c>
      <c r="F5">
        <v>57</v>
      </c>
      <c r="G5">
        <v>20</v>
      </c>
      <c r="H5" t="b">
        <v>0</v>
      </c>
    </row>
    <row r="6" spans="1:8" x14ac:dyDescent="0.3">
      <c r="A6" s="1" t="s">
        <v>526</v>
      </c>
      <c r="B6" s="1" t="s">
        <v>527</v>
      </c>
      <c r="C6">
        <v>12</v>
      </c>
      <c r="D6">
        <v>5.92</v>
      </c>
      <c r="E6">
        <v>7.75</v>
      </c>
      <c r="F6">
        <v>125</v>
      </c>
      <c r="G6">
        <v>25</v>
      </c>
      <c r="H6" t="b">
        <v>0</v>
      </c>
    </row>
    <row r="7" spans="1:8" x14ac:dyDescent="0.3">
      <c r="A7" s="1" t="s">
        <v>528</v>
      </c>
      <c r="B7" s="1" t="s">
        <v>529</v>
      </c>
      <c r="C7">
        <v>7</v>
      </c>
      <c r="D7">
        <v>12.51</v>
      </c>
      <c r="E7">
        <v>15</v>
      </c>
      <c r="F7">
        <v>15</v>
      </c>
      <c r="G7">
        <v>30</v>
      </c>
      <c r="H7" t="b">
        <v>0</v>
      </c>
    </row>
    <row r="8" spans="1:8" x14ac:dyDescent="0.3">
      <c r="A8" s="1" t="s">
        <v>530</v>
      </c>
      <c r="B8" s="1" t="s">
        <v>531</v>
      </c>
      <c r="C8">
        <v>16</v>
      </c>
      <c r="D8">
        <v>10.6</v>
      </c>
      <c r="E8">
        <v>14</v>
      </c>
      <c r="F8">
        <v>52</v>
      </c>
      <c r="G8">
        <v>10</v>
      </c>
      <c r="H8" t="b">
        <v>0</v>
      </c>
    </row>
    <row r="9" spans="1:8" x14ac:dyDescent="0.3">
      <c r="A9" s="1" t="s">
        <v>532</v>
      </c>
      <c r="B9" s="1" t="s">
        <v>533</v>
      </c>
      <c r="C9">
        <v>18</v>
      </c>
      <c r="D9">
        <v>166.5</v>
      </c>
      <c r="E9">
        <v>185</v>
      </c>
      <c r="F9">
        <v>17</v>
      </c>
      <c r="G9">
        <v>15</v>
      </c>
      <c r="H9" t="b">
        <v>0</v>
      </c>
    </row>
    <row r="10" spans="1:8" x14ac:dyDescent="0.3">
      <c r="A10" s="1" t="s">
        <v>534</v>
      </c>
      <c r="B10" s="1" t="s">
        <v>535</v>
      </c>
      <c r="C10">
        <v>16</v>
      </c>
      <c r="D10">
        <v>12.85</v>
      </c>
      <c r="E10">
        <v>14</v>
      </c>
      <c r="F10">
        <v>111</v>
      </c>
      <c r="G10">
        <v>15</v>
      </c>
      <c r="H10" t="b">
        <v>0</v>
      </c>
    </row>
    <row r="11" spans="1:8" x14ac:dyDescent="0.3">
      <c r="A11" s="1" t="s">
        <v>536</v>
      </c>
      <c r="B11" s="1" t="s">
        <v>537</v>
      </c>
      <c r="C11">
        <v>16</v>
      </c>
      <c r="D11">
        <v>14.06</v>
      </c>
      <c r="E11">
        <v>18</v>
      </c>
      <c r="F11">
        <v>20</v>
      </c>
      <c r="G11">
        <v>15</v>
      </c>
      <c r="H11" t="b">
        <v>0</v>
      </c>
    </row>
    <row r="12" spans="1:8" x14ac:dyDescent="0.3">
      <c r="A12" s="1" t="s">
        <v>538</v>
      </c>
      <c r="B12" s="1" t="s">
        <v>539</v>
      </c>
      <c r="C12">
        <v>20</v>
      </c>
      <c r="D12">
        <v>43.56</v>
      </c>
      <c r="E12">
        <v>46</v>
      </c>
      <c r="F12">
        <v>17</v>
      </c>
      <c r="G12">
        <v>25</v>
      </c>
      <c r="H12" t="b">
        <v>0</v>
      </c>
    </row>
    <row r="13" spans="1:8" x14ac:dyDescent="0.3">
      <c r="A13" s="1" t="s">
        <v>540</v>
      </c>
      <c r="B13" s="1" t="s">
        <v>541</v>
      </c>
      <c r="C13">
        <v>18</v>
      </c>
      <c r="D13">
        <v>15.73</v>
      </c>
      <c r="E13">
        <v>18</v>
      </c>
      <c r="F13">
        <v>69</v>
      </c>
      <c r="G13">
        <v>5</v>
      </c>
      <c r="H13" t="b">
        <v>0</v>
      </c>
    </row>
    <row r="14" spans="1:8" x14ac:dyDescent="0.3">
      <c r="A14" s="1" t="s">
        <v>542</v>
      </c>
      <c r="B14" s="1" t="s">
        <v>543</v>
      </c>
      <c r="C14">
        <v>3</v>
      </c>
      <c r="D14">
        <v>38.479999999999997</v>
      </c>
      <c r="E14">
        <v>40</v>
      </c>
      <c r="F14">
        <v>6</v>
      </c>
      <c r="G14">
        <v>0</v>
      </c>
      <c r="H14" t="b">
        <v>0</v>
      </c>
    </row>
    <row r="15" spans="1:8" x14ac:dyDescent="0.3">
      <c r="A15" s="1" t="s">
        <v>544</v>
      </c>
      <c r="B15" s="1" t="s">
        <v>545</v>
      </c>
      <c r="C15">
        <v>29</v>
      </c>
      <c r="D15">
        <v>26.02</v>
      </c>
      <c r="E15">
        <v>28.5</v>
      </c>
      <c r="F15">
        <v>113</v>
      </c>
      <c r="G15">
        <v>25</v>
      </c>
      <c r="H15" t="b">
        <v>0</v>
      </c>
    </row>
    <row r="16" spans="1:8" x14ac:dyDescent="0.3">
      <c r="A16" s="1" t="s">
        <v>546</v>
      </c>
      <c r="B16" s="1" t="s">
        <v>547</v>
      </c>
      <c r="C16">
        <v>2</v>
      </c>
      <c r="D16">
        <v>13.8</v>
      </c>
      <c r="E16">
        <v>17</v>
      </c>
      <c r="F16">
        <v>4</v>
      </c>
      <c r="G16">
        <v>20</v>
      </c>
      <c r="H16" t="b">
        <v>0</v>
      </c>
    </row>
    <row r="17" spans="1:8" x14ac:dyDescent="0.3">
      <c r="A17" s="1" t="s">
        <v>548</v>
      </c>
      <c r="B17" s="1" t="s">
        <v>549</v>
      </c>
      <c r="C17">
        <v>1</v>
      </c>
      <c r="D17">
        <v>9.0299999999999994</v>
      </c>
      <c r="E17">
        <v>10</v>
      </c>
      <c r="F17">
        <v>13</v>
      </c>
      <c r="G17">
        <v>25</v>
      </c>
      <c r="H17" t="b">
        <v>0</v>
      </c>
    </row>
    <row r="18" spans="1:8" x14ac:dyDescent="0.3">
      <c r="A18" s="1" t="s">
        <v>550</v>
      </c>
      <c r="B18" s="1" t="s">
        <v>551</v>
      </c>
      <c r="C18">
        <v>2</v>
      </c>
      <c r="D18">
        <v>19.010000000000002</v>
      </c>
      <c r="E18">
        <v>21.05</v>
      </c>
      <c r="F18">
        <v>76</v>
      </c>
      <c r="G18">
        <v>0</v>
      </c>
      <c r="H18" t="b">
        <v>0</v>
      </c>
    </row>
    <row r="19" spans="1:8" x14ac:dyDescent="0.3">
      <c r="A19" s="1" t="s">
        <v>552</v>
      </c>
      <c r="B19" s="1" t="s">
        <v>553</v>
      </c>
      <c r="C19">
        <v>2</v>
      </c>
      <c r="D19">
        <v>18.170000000000002</v>
      </c>
      <c r="E19">
        <v>22</v>
      </c>
      <c r="F19">
        <v>53</v>
      </c>
      <c r="G19">
        <v>0</v>
      </c>
      <c r="H19" t="b">
        <v>0</v>
      </c>
    </row>
    <row r="20" spans="1:8" x14ac:dyDescent="0.3">
      <c r="A20" s="1" t="s">
        <v>554</v>
      </c>
      <c r="B20" s="1" t="s">
        <v>555</v>
      </c>
      <c r="C20">
        <v>7</v>
      </c>
      <c r="D20">
        <v>37.1</v>
      </c>
      <c r="E20">
        <v>43.9</v>
      </c>
      <c r="F20">
        <v>24</v>
      </c>
      <c r="G20">
        <v>5</v>
      </c>
      <c r="H20" t="b">
        <v>0</v>
      </c>
    </row>
    <row r="21" spans="1:8" x14ac:dyDescent="0.3">
      <c r="A21" s="1" t="s">
        <v>556</v>
      </c>
      <c r="B21" s="1" t="s">
        <v>557</v>
      </c>
      <c r="C21">
        <v>2</v>
      </c>
      <c r="D21">
        <v>17.61</v>
      </c>
      <c r="E21">
        <v>21.35</v>
      </c>
      <c r="F21">
        <v>0</v>
      </c>
      <c r="G21">
        <v>0</v>
      </c>
      <c r="H21" t="b">
        <v>1</v>
      </c>
    </row>
    <row r="22" spans="1:8" x14ac:dyDescent="0.3">
      <c r="A22" s="1" t="s">
        <v>558</v>
      </c>
      <c r="B22" s="1" t="s">
        <v>559</v>
      </c>
      <c r="C22">
        <v>6</v>
      </c>
      <c r="D22">
        <v>14.55</v>
      </c>
      <c r="E22">
        <v>15.5</v>
      </c>
      <c r="F22">
        <v>39</v>
      </c>
      <c r="G22">
        <v>5</v>
      </c>
      <c r="H22" t="b">
        <v>0</v>
      </c>
    </row>
    <row r="23" spans="1:8" x14ac:dyDescent="0.3">
      <c r="A23" s="1" t="s">
        <v>560</v>
      </c>
      <c r="B23" s="1" t="s">
        <v>561</v>
      </c>
      <c r="C23">
        <v>3</v>
      </c>
      <c r="D23">
        <v>23.6</v>
      </c>
      <c r="E23">
        <v>25</v>
      </c>
      <c r="F23">
        <v>120</v>
      </c>
      <c r="G23">
        <v>25</v>
      </c>
      <c r="H23" t="b">
        <v>0</v>
      </c>
    </row>
    <row r="24" spans="1:8" x14ac:dyDescent="0.3">
      <c r="A24" s="1" t="s">
        <v>562</v>
      </c>
      <c r="B24" s="1" t="s">
        <v>563</v>
      </c>
      <c r="C24">
        <v>20</v>
      </c>
      <c r="D24">
        <v>17.93</v>
      </c>
      <c r="E24">
        <v>19.45</v>
      </c>
      <c r="F24">
        <v>27</v>
      </c>
      <c r="G24">
        <v>15</v>
      </c>
      <c r="H24" t="b">
        <v>0</v>
      </c>
    </row>
    <row r="25" spans="1:8" x14ac:dyDescent="0.3">
      <c r="A25" s="1" t="s">
        <v>564</v>
      </c>
      <c r="B25" s="1" t="s">
        <v>565</v>
      </c>
      <c r="C25">
        <v>12</v>
      </c>
      <c r="D25">
        <v>10.47</v>
      </c>
      <c r="E25">
        <v>13</v>
      </c>
      <c r="F25">
        <v>32</v>
      </c>
      <c r="G25">
        <v>15</v>
      </c>
      <c r="H25" t="b">
        <v>0</v>
      </c>
    </row>
    <row r="26" spans="1:8" x14ac:dyDescent="0.3">
      <c r="A26" s="1" t="s">
        <v>566</v>
      </c>
      <c r="B26" s="1" t="s">
        <v>567</v>
      </c>
      <c r="C26">
        <v>7</v>
      </c>
      <c r="D26">
        <v>15.84</v>
      </c>
      <c r="E26">
        <v>17.45</v>
      </c>
      <c r="F26">
        <v>29</v>
      </c>
      <c r="G26">
        <v>10</v>
      </c>
      <c r="H26" t="b">
        <v>0</v>
      </c>
    </row>
    <row r="27" spans="1:8" x14ac:dyDescent="0.3">
      <c r="A27" s="1" t="s">
        <v>568</v>
      </c>
      <c r="B27" s="1" t="s">
        <v>569</v>
      </c>
      <c r="C27">
        <v>22</v>
      </c>
      <c r="D27">
        <v>8.76</v>
      </c>
      <c r="E27">
        <v>9.5</v>
      </c>
      <c r="F27">
        <v>36</v>
      </c>
      <c r="G27">
        <v>0</v>
      </c>
      <c r="H27" t="b">
        <v>0</v>
      </c>
    </row>
    <row r="28" spans="1:8" x14ac:dyDescent="0.3">
      <c r="A28" s="1" t="s">
        <v>570</v>
      </c>
      <c r="B28" s="1" t="s">
        <v>571</v>
      </c>
      <c r="C28">
        <v>22</v>
      </c>
      <c r="D28">
        <v>11.83</v>
      </c>
      <c r="E28">
        <v>12.75</v>
      </c>
      <c r="F28">
        <v>15</v>
      </c>
      <c r="G28">
        <v>25</v>
      </c>
      <c r="H28" t="b">
        <v>0</v>
      </c>
    </row>
    <row r="29" spans="1:8" x14ac:dyDescent="0.3">
      <c r="A29" s="1" t="s">
        <v>572</v>
      </c>
      <c r="B29" s="1" t="s">
        <v>573</v>
      </c>
      <c r="C29">
        <v>11</v>
      </c>
      <c r="D29">
        <v>12.75</v>
      </c>
      <c r="E29">
        <v>14</v>
      </c>
      <c r="F29">
        <v>76</v>
      </c>
      <c r="G29">
        <v>30</v>
      </c>
      <c r="H29" t="b">
        <v>0</v>
      </c>
    </row>
    <row r="30" spans="1:8" x14ac:dyDescent="0.3">
      <c r="A30" s="1" t="s">
        <v>574</v>
      </c>
      <c r="B30" s="1" t="s">
        <v>575</v>
      </c>
      <c r="C30">
        <v>23</v>
      </c>
      <c r="D30">
        <v>18.059999999999999</v>
      </c>
      <c r="E30">
        <v>20</v>
      </c>
      <c r="F30">
        <v>10</v>
      </c>
      <c r="G30">
        <v>15</v>
      </c>
      <c r="H30" t="b">
        <v>0</v>
      </c>
    </row>
    <row r="31" spans="1:8" x14ac:dyDescent="0.3">
      <c r="A31" s="1" t="s">
        <v>576</v>
      </c>
      <c r="B31" s="1" t="s">
        <v>577</v>
      </c>
      <c r="C31">
        <v>8</v>
      </c>
      <c r="D31">
        <v>9.1300000000000008</v>
      </c>
      <c r="E31">
        <v>10</v>
      </c>
      <c r="F31">
        <v>3</v>
      </c>
      <c r="G31">
        <v>5</v>
      </c>
      <c r="H31" t="b">
        <v>0</v>
      </c>
    </row>
    <row r="32" spans="1:8" x14ac:dyDescent="0.3">
      <c r="A32" s="1" t="s">
        <v>578</v>
      </c>
      <c r="B32" s="1" t="s">
        <v>579</v>
      </c>
      <c r="C32">
        <v>23</v>
      </c>
      <c r="D32">
        <v>14.89</v>
      </c>
      <c r="E32">
        <v>16.25</v>
      </c>
      <c r="F32">
        <v>65</v>
      </c>
      <c r="G32">
        <v>30</v>
      </c>
      <c r="H32" t="b">
        <v>0</v>
      </c>
    </row>
    <row r="33" spans="1:8" x14ac:dyDescent="0.3">
      <c r="A33" s="1" t="s">
        <v>580</v>
      </c>
      <c r="B33" s="1" t="s">
        <v>581</v>
      </c>
      <c r="C33">
        <v>8</v>
      </c>
      <c r="D33">
        <v>11.51</v>
      </c>
      <c r="E33">
        <v>12.5</v>
      </c>
      <c r="F33">
        <v>6</v>
      </c>
      <c r="G33">
        <v>15</v>
      </c>
      <c r="H33" t="b">
        <v>0</v>
      </c>
    </row>
    <row r="34" spans="1:8" x14ac:dyDescent="0.3">
      <c r="A34" s="1" t="s">
        <v>582</v>
      </c>
      <c r="B34" s="1" t="s">
        <v>583</v>
      </c>
      <c r="C34">
        <v>29</v>
      </c>
      <c r="D34">
        <v>45.06</v>
      </c>
      <c r="E34">
        <v>49.3</v>
      </c>
      <c r="F34">
        <v>17</v>
      </c>
      <c r="G34">
        <v>0</v>
      </c>
      <c r="H34" t="b">
        <v>0</v>
      </c>
    </row>
    <row r="35" spans="1:8" x14ac:dyDescent="0.3">
      <c r="A35" s="1" t="s">
        <v>584</v>
      </c>
      <c r="B35" s="1" t="s">
        <v>585</v>
      </c>
      <c r="C35">
        <v>11</v>
      </c>
      <c r="D35">
        <v>28.42</v>
      </c>
      <c r="E35">
        <v>31.23</v>
      </c>
      <c r="F35">
        <v>15</v>
      </c>
      <c r="G35">
        <v>0</v>
      </c>
      <c r="H35" t="b">
        <v>0</v>
      </c>
    </row>
    <row r="36" spans="1:8" x14ac:dyDescent="0.3">
      <c r="A36" s="1" t="s">
        <v>586</v>
      </c>
      <c r="B36" s="1" t="s">
        <v>587</v>
      </c>
      <c r="C36">
        <v>11</v>
      </c>
      <c r="D36">
        <v>40.479999999999997</v>
      </c>
      <c r="E36">
        <v>43.9</v>
      </c>
      <c r="F36">
        <v>49</v>
      </c>
      <c r="G36">
        <v>30</v>
      </c>
      <c r="H36" t="b">
        <v>0</v>
      </c>
    </row>
    <row r="37" spans="1:8" x14ac:dyDescent="0.3">
      <c r="A37" s="1" t="s">
        <v>588</v>
      </c>
      <c r="B37" s="1" t="s">
        <v>589</v>
      </c>
      <c r="C37">
        <v>8</v>
      </c>
      <c r="D37">
        <v>8.3000000000000007</v>
      </c>
      <c r="E37">
        <v>9.1999999999999993</v>
      </c>
      <c r="F37">
        <v>25</v>
      </c>
      <c r="G37">
        <v>5</v>
      </c>
      <c r="H37" t="b">
        <v>0</v>
      </c>
    </row>
    <row r="38" spans="1:8" x14ac:dyDescent="0.3">
      <c r="A38" s="1" t="s">
        <v>590</v>
      </c>
      <c r="B38" s="1" t="s">
        <v>591</v>
      </c>
      <c r="C38">
        <v>8</v>
      </c>
      <c r="D38">
        <v>73.95</v>
      </c>
      <c r="E38">
        <v>81</v>
      </c>
      <c r="F38">
        <v>40</v>
      </c>
      <c r="G38">
        <v>0</v>
      </c>
      <c r="H38" t="b">
        <v>0</v>
      </c>
    </row>
    <row r="39" spans="1:8" x14ac:dyDescent="0.3">
      <c r="A39" s="1" t="s">
        <v>592</v>
      </c>
      <c r="B39" s="1" t="s">
        <v>593</v>
      </c>
      <c r="C39">
        <v>5</v>
      </c>
      <c r="D39">
        <v>24.05</v>
      </c>
      <c r="E39">
        <v>38</v>
      </c>
      <c r="F39">
        <v>86</v>
      </c>
      <c r="G39">
        <v>0</v>
      </c>
      <c r="H39" t="b">
        <v>0</v>
      </c>
    </row>
    <row r="40" spans="1:8" x14ac:dyDescent="0.3">
      <c r="A40" s="1" t="s">
        <v>594</v>
      </c>
      <c r="B40" s="1" t="s">
        <v>595</v>
      </c>
      <c r="C40">
        <v>15</v>
      </c>
      <c r="D40">
        <v>12.99</v>
      </c>
      <c r="E40">
        <v>21.5</v>
      </c>
      <c r="F40">
        <v>26</v>
      </c>
      <c r="G40">
        <v>0</v>
      </c>
      <c r="H40" t="b">
        <v>0</v>
      </c>
    </row>
    <row r="41" spans="1:8" x14ac:dyDescent="0.3">
      <c r="A41" s="1" t="s">
        <v>596</v>
      </c>
      <c r="B41" s="1" t="s">
        <v>597</v>
      </c>
      <c r="C41">
        <v>14</v>
      </c>
      <c r="D41">
        <v>9.5</v>
      </c>
      <c r="E41">
        <v>12.5</v>
      </c>
      <c r="F41">
        <v>0</v>
      </c>
      <c r="G41">
        <v>20</v>
      </c>
      <c r="H41" t="b">
        <v>0</v>
      </c>
    </row>
    <row r="42" spans="1:8" x14ac:dyDescent="0.3">
      <c r="A42" s="1" t="s">
        <v>598</v>
      </c>
      <c r="B42" s="1" t="s">
        <v>599</v>
      </c>
      <c r="C42">
        <v>5</v>
      </c>
      <c r="D42">
        <v>13.86</v>
      </c>
      <c r="E42">
        <v>21</v>
      </c>
      <c r="F42">
        <v>22</v>
      </c>
      <c r="G42">
        <v>30</v>
      </c>
      <c r="H42" t="b">
        <v>0</v>
      </c>
    </row>
    <row r="43" spans="1:8" x14ac:dyDescent="0.3">
      <c r="A43" s="1" t="s">
        <v>600</v>
      </c>
      <c r="B43" s="1" t="s">
        <v>601</v>
      </c>
      <c r="C43">
        <v>28</v>
      </c>
      <c r="D43">
        <v>25.23</v>
      </c>
      <c r="E43">
        <v>34</v>
      </c>
      <c r="F43">
        <v>19</v>
      </c>
      <c r="G43">
        <v>0</v>
      </c>
      <c r="H43" t="b">
        <v>0</v>
      </c>
    </row>
    <row r="44" spans="1:8" x14ac:dyDescent="0.3">
      <c r="A44" s="1" t="s">
        <v>602</v>
      </c>
      <c r="B44" s="1" t="s">
        <v>603</v>
      </c>
      <c r="C44">
        <v>15</v>
      </c>
      <c r="D44">
        <v>1.79</v>
      </c>
      <c r="E44">
        <v>2.5</v>
      </c>
      <c r="F44">
        <v>112</v>
      </c>
      <c r="G44">
        <v>20</v>
      </c>
      <c r="H44" t="b">
        <v>0</v>
      </c>
    </row>
    <row r="45" spans="1:8" x14ac:dyDescent="0.3">
      <c r="A45" s="1" t="s">
        <v>604</v>
      </c>
      <c r="B45" s="1" t="s">
        <v>605</v>
      </c>
      <c r="C45">
        <v>28</v>
      </c>
      <c r="D45">
        <v>35.53</v>
      </c>
      <c r="E45">
        <v>55</v>
      </c>
      <c r="F45">
        <v>79</v>
      </c>
      <c r="G45">
        <v>0</v>
      </c>
      <c r="H45" t="b">
        <v>0</v>
      </c>
    </row>
    <row r="46" spans="1:8" x14ac:dyDescent="0.3">
      <c r="A46" s="1" t="s">
        <v>606</v>
      </c>
      <c r="B46" s="1" t="s">
        <v>607</v>
      </c>
      <c r="C46">
        <v>14</v>
      </c>
      <c r="D46">
        <v>25.41</v>
      </c>
      <c r="E46">
        <v>32</v>
      </c>
      <c r="F46">
        <v>9</v>
      </c>
      <c r="G46">
        <v>25</v>
      </c>
      <c r="H46" t="b">
        <v>0</v>
      </c>
    </row>
    <row r="47" spans="1:8" x14ac:dyDescent="0.3">
      <c r="A47" s="1" t="s">
        <v>608</v>
      </c>
      <c r="B47" s="1" t="s">
        <v>609</v>
      </c>
      <c r="C47">
        <v>14</v>
      </c>
      <c r="D47">
        <v>24.53</v>
      </c>
      <c r="E47">
        <v>34.799999999999997</v>
      </c>
      <c r="F47">
        <v>14</v>
      </c>
      <c r="G47">
        <v>0</v>
      </c>
      <c r="H47" t="b">
        <v>0</v>
      </c>
    </row>
    <row r="48" spans="1:8" x14ac:dyDescent="0.3">
      <c r="A48" s="1" t="s">
        <v>610</v>
      </c>
      <c r="B48" s="1" t="s">
        <v>611</v>
      </c>
      <c r="C48">
        <v>15</v>
      </c>
      <c r="D48">
        <v>28.55</v>
      </c>
      <c r="E48">
        <v>36</v>
      </c>
      <c r="F48">
        <v>26</v>
      </c>
      <c r="G48">
        <v>15</v>
      </c>
      <c r="H48" t="b">
        <v>0</v>
      </c>
    </row>
    <row r="49" spans="1:8" x14ac:dyDescent="0.3">
      <c r="A49" s="1" t="s">
        <v>612</v>
      </c>
      <c r="B49" s="1" t="s">
        <v>613</v>
      </c>
      <c r="C49">
        <v>26</v>
      </c>
      <c r="D49">
        <v>14.68</v>
      </c>
      <c r="E49">
        <v>19.5</v>
      </c>
      <c r="F49">
        <v>36</v>
      </c>
      <c r="G49">
        <v>20</v>
      </c>
      <c r="H49" t="b">
        <v>0</v>
      </c>
    </row>
    <row r="50" spans="1:8" x14ac:dyDescent="0.3">
      <c r="A50" s="1" t="s">
        <v>614</v>
      </c>
      <c r="B50" s="1" t="s">
        <v>615</v>
      </c>
      <c r="C50">
        <v>9</v>
      </c>
      <c r="D50">
        <v>14.85</v>
      </c>
      <c r="E50">
        <v>21</v>
      </c>
      <c r="F50">
        <v>104</v>
      </c>
      <c r="G50">
        <v>25</v>
      </c>
      <c r="H50" t="b">
        <v>0</v>
      </c>
    </row>
    <row r="51" spans="1:8" x14ac:dyDescent="0.3">
      <c r="A51" s="1" t="s">
        <v>616</v>
      </c>
      <c r="B51" s="1" t="s">
        <v>617</v>
      </c>
      <c r="C51">
        <v>12</v>
      </c>
      <c r="D51">
        <v>26.23</v>
      </c>
      <c r="E51">
        <v>33.25</v>
      </c>
      <c r="F51">
        <v>22</v>
      </c>
      <c r="G51">
        <v>30</v>
      </c>
      <c r="H51" t="b">
        <v>0</v>
      </c>
    </row>
    <row r="52" spans="1:8" x14ac:dyDescent="0.3">
      <c r="A52" s="1" t="s">
        <v>618</v>
      </c>
      <c r="B52" s="1" t="s">
        <v>619</v>
      </c>
      <c r="C52">
        <v>26</v>
      </c>
      <c r="D52">
        <v>26.79</v>
      </c>
      <c r="E52">
        <v>38</v>
      </c>
      <c r="F52">
        <v>21</v>
      </c>
      <c r="G52">
        <v>30</v>
      </c>
      <c r="H52" t="b">
        <v>0</v>
      </c>
    </row>
    <row r="53" spans="1:8" x14ac:dyDescent="0.3">
      <c r="A53" s="1" t="s">
        <v>620</v>
      </c>
      <c r="B53" s="1" t="s">
        <v>621</v>
      </c>
      <c r="C53">
        <v>20</v>
      </c>
      <c r="D53">
        <v>10.36</v>
      </c>
      <c r="E53">
        <v>14</v>
      </c>
      <c r="F53">
        <v>26</v>
      </c>
      <c r="G53">
        <v>0</v>
      </c>
      <c r="H53" t="b">
        <v>1</v>
      </c>
    </row>
    <row r="54" spans="1:8" x14ac:dyDescent="0.3">
      <c r="A54" s="1" t="s">
        <v>622</v>
      </c>
      <c r="B54" s="1" t="s">
        <v>623</v>
      </c>
      <c r="C54">
        <v>24</v>
      </c>
      <c r="D54">
        <v>5.6</v>
      </c>
      <c r="E54">
        <v>7</v>
      </c>
      <c r="F54">
        <v>38</v>
      </c>
      <c r="G54">
        <v>25</v>
      </c>
      <c r="H54" t="b">
        <v>0</v>
      </c>
    </row>
    <row r="55" spans="1:8" x14ac:dyDescent="0.3">
      <c r="A55" s="1" t="s">
        <v>624</v>
      </c>
      <c r="B55" s="1" t="s">
        <v>625</v>
      </c>
      <c r="C55">
        <v>9</v>
      </c>
      <c r="D55">
        <v>6.85</v>
      </c>
      <c r="E55">
        <v>9</v>
      </c>
      <c r="F55">
        <v>61</v>
      </c>
      <c r="G55">
        <v>25</v>
      </c>
      <c r="H55" t="b">
        <v>0</v>
      </c>
    </row>
    <row r="56" spans="1:8" x14ac:dyDescent="0.3">
      <c r="A56" s="1" t="s">
        <v>626</v>
      </c>
      <c r="B56" s="1" t="s">
        <v>627</v>
      </c>
      <c r="C56">
        <v>24</v>
      </c>
      <c r="D56">
        <v>30.73</v>
      </c>
      <c r="E56">
        <v>32.799999999999997</v>
      </c>
      <c r="F56">
        <v>0</v>
      </c>
      <c r="G56">
        <v>0</v>
      </c>
      <c r="H56" t="b">
        <v>1</v>
      </c>
    </row>
    <row r="57" spans="1:8" x14ac:dyDescent="0.3">
      <c r="A57" s="1" t="s">
        <v>628</v>
      </c>
      <c r="B57" s="1" t="s">
        <v>629</v>
      </c>
      <c r="C57">
        <v>25</v>
      </c>
      <c r="D57">
        <v>20.93</v>
      </c>
      <c r="E57">
        <v>24</v>
      </c>
      <c r="F57">
        <v>115</v>
      </c>
      <c r="G57">
        <v>20</v>
      </c>
      <c r="H57" t="b">
        <v>0</v>
      </c>
    </row>
    <row r="58" spans="1:8" x14ac:dyDescent="0.3">
      <c r="A58" s="1" t="s">
        <v>630</v>
      </c>
      <c r="B58" s="1" t="s">
        <v>631</v>
      </c>
      <c r="C58">
        <v>25</v>
      </c>
      <c r="D58">
        <v>6.65</v>
      </c>
      <c r="E58">
        <v>7.45</v>
      </c>
      <c r="F58">
        <v>21</v>
      </c>
      <c r="G58">
        <v>10</v>
      </c>
      <c r="H58" t="b">
        <v>0</v>
      </c>
    </row>
    <row r="59" spans="1:8" x14ac:dyDescent="0.3">
      <c r="A59" s="1" t="s">
        <v>632</v>
      </c>
      <c r="B59" s="1" t="s">
        <v>633</v>
      </c>
      <c r="C59">
        <v>4</v>
      </c>
      <c r="D59">
        <v>77.5</v>
      </c>
      <c r="E59">
        <v>97</v>
      </c>
      <c r="F59">
        <v>29</v>
      </c>
      <c r="G59">
        <v>0</v>
      </c>
      <c r="H59" t="b">
        <v>1</v>
      </c>
    </row>
    <row r="60" spans="1:8" x14ac:dyDescent="0.3">
      <c r="A60" s="1" t="s">
        <v>634</v>
      </c>
      <c r="B60" s="1" t="s">
        <v>635</v>
      </c>
      <c r="C60">
        <v>12</v>
      </c>
      <c r="D60">
        <v>106.09</v>
      </c>
      <c r="E60">
        <v>123.79</v>
      </c>
      <c r="F60">
        <v>0</v>
      </c>
      <c r="G60">
        <v>0</v>
      </c>
      <c r="H60" t="b">
        <v>1</v>
      </c>
    </row>
    <row r="61" spans="1:8" x14ac:dyDescent="0.3">
      <c r="A61" s="1" t="s">
        <v>636</v>
      </c>
      <c r="B61" s="1" t="s">
        <v>637</v>
      </c>
      <c r="C61">
        <v>7</v>
      </c>
      <c r="D61">
        <v>32.6</v>
      </c>
      <c r="E61">
        <v>39</v>
      </c>
      <c r="F61">
        <v>0</v>
      </c>
      <c r="G61">
        <v>0</v>
      </c>
      <c r="H61" t="b">
        <v>1</v>
      </c>
    </row>
    <row r="62" spans="1:8" x14ac:dyDescent="0.3">
      <c r="A62" s="1" t="s">
        <v>638</v>
      </c>
      <c r="B62" s="1" t="s">
        <v>639</v>
      </c>
      <c r="C62">
        <v>4</v>
      </c>
      <c r="D62">
        <v>8.2200000000000006</v>
      </c>
      <c r="E62">
        <v>10</v>
      </c>
      <c r="F62">
        <v>4</v>
      </c>
      <c r="G62">
        <v>5</v>
      </c>
      <c r="H62" t="b">
        <v>0</v>
      </c>
    </row>
    <row r="63" spans="1:8" x14ac:dyDescent="0.3">
      <c r="A63" s="1" t="s">
        <v>640</v>
      </c>
      <c r="B63" s="1" t="s">
        <v>641</v>
      </c>
      <c r="C63">
        <v>6</v>
      </c>
      <c r="D63">
        <v>20.65</v>
      </c>
      <c r="E63">
        <v>23.25</v>
      </c>
      <c r="F63">
        <v>35</v>
      </c>
      <c r="G63">
        <v>0</v>
      </c>
      <c r="H63" t="b">
        <v>0</v>
      </c>
    </row>
    <row r="64" spans="1:8" x14ac:dyDescent="0.3">
      <c r="A64" s="1" t="s">
        <v>642</v>
      </c>
      <c r="B64" s="1" t="s">
        <v>643</v>
      </c>
      <c r="C64">
        <v>12</v>
      </c>
      <c r="D64">
        <v>38.4</v>
      </c>
      <c r="E64">
        <v>45.6</v>
      </c>
      <c r="F64">
        <v>26</v>
      </c>
      <c r="G64">
        <v>0</v>
      </c>
      <c r="H64" t="b">
        <v>1</v>
      </c>
    </row>
    <row r="65" spans="1:8" x14ac:dyDescent="0.3">
      <c r="A65" s="1" t="s">
        <v>644</v>
      </c>
      <c r="B65" s="1" t="s">
        <v>645</v>
      </c>
      <c r="C65">
        <v>24</v>
      </c>
      <c r="D65">
        <v>43.04</v>
      </c>
      <c r="E65">
        <v>53</v>
      </c>
      <c r="F65">
        <v>20</v>
      </c>
      <c r="G65">
        <v>10</v>
      </c>
      <c r="H65" t="b">
        <v>0</v>
      </c>
    </row>
    <row r="66" spans="1:8" x14ac:dyDescent="0.3">
      <c r="A66" s="1" t="s">
        <v>646</v>
      </c>
      <c r="B66" s="1" t="s">
        <v>647</v>
      </c>
      <c r="C66">
        <v>3</v>
      </c>
      <c r="D66">
        <v>25.98</v>
      </c>
      <c r="E66">
        <v>30</v>
      </c>
      <c r="F66">
        <v>15</v>
      </c>
      <c r="G66">
        <v>10</v>
      </c>
      <c r="H66" t="b">
        <v>0</v>
      </c>
    </row>
    <row r="67" spans="1:8" x14ac:dyDescent="0.3">
      <c r="A67" s="1" t="s">
        <v>648</v>
      </c>
      <c r="B67" s="1" t="s">
        <v>649</v>
      </c>
      <c r="C67">
        <v>4</v>
      </c>
      <c r="D67">
        <v>24.18</v>
      </c>
      <c r="E67">
        <v>31</v>
      </c>
      <c r="F67">
        <v>31</v>
      </c>
      <c r="G67">
        <v>0</v>
      </c>
      <c r="H67" t="b">
        <v>0</v>
      </c>
    </row>
    <row r="68" spans="1:8" x14ac:dyDescent="0.3">
      <c r="A68" s="1" t="s">
        <v>650</v>
      </c>
      <c r="B68" s="1" t="s">
        <v>651</v>
      </c>
      <c r="C68">
        <v>17</v>
      </c>
      <c r="D68">
        <v>18.41</v>
      </c>
      <c r="E68">
        <v>26</v>
      </c>
      <c r="F68">
        <v>11</v>
      </c>
      <c r="G68">
        <v>25</v>
      </c>
      <c r="H68" t="b">
        <v>0</v>
      </c>
    </row>
    <row r="69" spans="1:8" x14ac:dyDescent="0.3">
      <c r="A69" s="1" t="s">
        <v>652</v>
      </c>
      <c r="B69" s="1" t="s">
        <v>653</v>
      </c>
      <c r="C69">
        <v>17</v>
      </c>
      <c r="D69">
        <v>13.55</v>
      </c>
      <c r="E69">
        <v>19</v>
      </c>
      <c r="F69">
        <v>112</v>
      </c>
      <c r="G69">
        <v>20</v>
      </c>
      <c r="H69" t="b">
        <v>0</v>
      </c>
    </row>
    <row r="70" spans="1:8" x14ac:dyDescent="0.3">
      <c r="A70" s="1" t="s">
        <v>654</v>
      </c>
      <c r="B70" s="1" t="s">
        <v>655</v>
      </c>
      <c r="C70">
        <v>7</v>
      </c>
      <c r="D70">
        <v>47.81</v>
      </c>
      <c r="E70">
        <v>62.5</v>
      </c>
      <c r="F70">
        <v>42</v>
      </c>
      <c r="G70">
        <v>0</v>
      </c>
      <c r="H70" t="b">
        <v>0</v>
      </c>
    </row>
    <row r="71" spans="1:8" x14ac:dyDescent="0.3">
      <c r="A71" s="1" t="s">
        <v>656</v>
      </c>
      <c r="B71" s="1" t="s">
        <v>657</v>
      </c>
      <c r="C71">
        <v>21</v>
      </c>
      <c r="D71">
        <v>7.97</v>
      </c>
      <c r="E71">
        <v>9.5</v>
      </c>
      <c r="F71">
        <v>5</v>
      </c>
      <c r="G71">
        <v>15</v>
      </c>
      <c r="H71" t="b">
        <v>0</v>
      </c>
    </row>
    <row r="72" spans="1:8" x14ac:dyDescent="0.3">
      <c r="A72" s="1" t="s">
        <v>658</v>
      </c>
      <c r="B72" s="1" t="s">
        <v>659</v>
      </c>
      <c r="C72">
        <v>19</v>
      </c>
      <c r="D72">
        <v>7.58</v>
      </c>
      <c r="E72">
        <v>9.65</v>
      </c>
      <c r="F72">
        <v>85</v>
      </c>
      <c r="G72">
        <v>10</v>
      </c>
      <c r="H72" t="b">
        <v>0</v>
      </c>
    </row>
    <row r="73" spans="1:8" x14ac:dyDescent="0.3">
      <c r="A73" s="1" t="s">
        <v>660</v>
      </c>
      <c r="B73" s="1" t="s">
        <v>661</v>
      </c>
      <c r="C73">
        <v>19</v>
      </c>
      <c r="D73">
        <v>15.44</v>
      </c>
      <c r="E73">
        <v>18.399999999999999</v>
      </c>
      <c r="F73">
        <v>123</v>
      </c>
      <c r="G73">
        <v>30</v>
      </c>
      <c r="H73" t="b">
        <v>0</v>
      </c>
    </row>
    <row r="74" spans="1:8" x14ac:dyDescent="0.3">
      <c r="A74" s="1" t="s">
        <v>662</v>
      </c>
      <c r="B74" s="1" t="s">
        <v>663</v>
      </c>
      <c r="C74">
        <v>13</v>
      </c>
      <c r="D74">
        <v>20.53</v>
      </c>
      <c r="E74">
        <v>25.89</v>
      </c>
      <c r="F74">
        <v>10</v>
      </c>
      <c r="G74">
        <v>15</v>
      </c>
      <c r="H74" t="b">
        <v>0</v>
      </c>
    </row>
    <row r="75" spans="1:8" x14ac:dyDescent="0.3">
      <c r="A75" s="1" t="s">
        <v>664</v>
      </c>
      <c r="B75" s="1" t="s">
        <v>665</v>
      </c>
      <c r="C75">
        <v>6</v>
      </c>
      <c r="D75">
        <v>4.49</v>
      </c>
      <c r="E75">
        <v>6</v>
      </c>
      <c r="F75">
        <v>24</v>
      </c>
      <c r="G75">
        <v>5</v>
      </c>
      <c r="H75" t="b">
        <v>0</v>
      </c>
    </row>
    <row r="76" spans="1:8" x14ac:dyDescent="0.3">
      <c r="A76" s="1" t="s">
        <v>666</v>
      </c>
      <c r="B76" s="1" t="s">
        <v>667</v>
      </c>
      <c r="C76">
        <v>27</v>
      </c>
      <c r="D76">
        <v>8.57</v>
      </c>
      <c r="E76">
        <v>13.25</v>
      </c>
      <c r="F76">
        <v>62</v>
      </c>
      <c r="G76">
        <v>20</v>
      </c>
      <c r="H76" t="b">
        <v>0</v>
      </c>
    </row>
    <row r="77" spans="1:8" x14ac:dyDescent="0.3">
      <c r="A77" s="1" t="s">
        <v>668</v>
      </c>
      <c r="B77" s="1" t="s">
        <v>669</v>
      </c>
      <c r="C77">
        <v>17</v>
      </c>
      <c r="D77">
        <v>10.7</v>
      </c>
      <c r="E77">
        <v>15</v>
      </c>
      <c r="F77">
        <v>101</v>
      </c>
      <c r="G77">
        <v>5</v>
      </c>
      <c r="H77" t="b">
        <v>0</v>
      </c>
    </row>
    <row r="78" spans="1:8" x14ac:dyDescent="0.3">
      <c r="A78" s="1" t="s">
        <v>670</v>
      </c>
      <c r="B78" s="1" t="s">
        <v>671</v>
      </c>
      <c r="C78">
        <v>21</v>
      </c>
      <c r="D78">
        <v>9.74</v>
      </c>
      <c r="E78">
        <v>12</v>
      </c>
      <c r="F78">
        <v>95</v>
      </c>
      <c r="G78">
        <v>0</v>
      </c>
      <c r="H78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871E-6764-446B-82C8-3F1089F39CD9}">
  <dimension ref="A1:M3"/>
  <sheetViews>
    <sheetView workbookViewId="0">
      <selection activeCell="B2" sqref="B2"/>
    </sheetView>
  </sheetViews>
  <sheetFormatPr defaultRowHeight="13.75" x14ac:dyDescent="0.3"/>
  <cols>
    <col min="2" max="13" width="13.28515625" bestFit="1" customWidth="1"/>
  </cols>
  <sheetData>
    <row r="1" spans="1:13" x14ac:dyDescent="0.3">
      <c r="B1" s="8" t="s">
        <v>688</v>
      </c>
      <c r="C1" s="8" t="s">
        <v>689</v>
      </c>
      <c r="D1" s="8" t="s">
        <v>690</v>
      </c>
      <c r="E1" s="8" t="s">
        <v>691</v>
      </c>
      <c r="F1" s="8" t="s">
        <v>692</v>
      </c>
      <c r="G1" s="8" t="s">
        <v>693</v>
      </c>
      <c r="H1" s="8" t="s">
        <v>694</v>
      </c>
      <c r="I1" s="8" t="s">
        <v>695</v>
      </c>
      <c r="J1" s="8" t="s">
        <v>696</v>
      </c>
      <c r="K1" s="8" t="s">
        <v>697</v>
      </c>
      <c r="L1" s="8" t="s">
        <v>698</v>
      </c>
      <c r="M1" s="8" t="s">
        <v>699</v>
      </c>
    </row>
    <row r="2" spans="1:13" x14ac:dyDescent="0.3">
      <c r="A2" s="9" t="s">
        <v>700</v>
      </c>
      <c r="B2" s="7">
        <v>180000</v>
      </c>
      <c r="C2" s="7">
        <v>185000</v>
      </c>
      <c r="D2" s="7">
        <v>195000</v>
      </c>
      <c r="E2" s="7">
        <v>210000</v>
      </c>
      <c r="F2" s="7">
        <v>200000</v>
      </c>
      <c r="G2" s="7">
        <v>205000</v>
      </c>
      <c r="H2" s="7">
        <v>210000</v>
      </c>
      <c r="I2" s="7">
        <v>215000</v>
      </c>
      <c r="J2" s="7">
        <v>205000</v>
      </c>
      <c r="K2" s="7">
        <v>220000</v>
      </c>
      <c r="L2" s="7">
        <v>230000</v>
      </c>
      <c r="M2" s="7">
        <v>250000</v>
      </c>
    </row>
    <row r="3" spans="1:13" x14ac:dyDescent="0.3">
      <c r="A3" s="2" t="s">
        <v>513</v>
      </c>
      <c r="B3" s="7">
        <v>130000</v>
      </c>
      <c r="C3" s="7">
        <v>132000</v>
      </c>
      <c r="D3" s="7">
        <v>135000</v>
      </c>
      <c r="E3" s="7">
        <v>140000</v>
      </c>
      <c r="F3" s="7">
        <v>138000</v>
      </c>
      <c r="G3" s="7">
        <v>140000</v>
      </c>
      <c r="H3" s="7">
        <v>145000</v>
      </c>
      <c r="I3" s="7">
        <v>145000</v>
      </c>
      <c r="J3" s="7">
        <v>140000</v>
      </c>
      <c r="K3" s="7">
        <v>145000</v>
      </c>
      <c r="L3" s="7">
        <v>150000</v>
      </c>
      <c r="M3" s="7">
        <v>560000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FF42-7ACD-4EF9-BE9D-6F934948A48E}">
  <dimension ref="A1:B5"/>
  <sheetViews>
    <sheetView tabSelected="1" workbookViewId="0">
      <selection activeCell="J4" sqref="J4"/>
    </sheetView>
  </sheetViews>
  <sheetFormatPr defaultRowHeight="13.75" x14ac:dyDescent="0.3"/>
  <cols>
    <col min="2" max="2" width="11.2109375" bestFit="1" customWidth="1"/>
  </cols>
  <sheetData>
    <row r="1" spans="1:2" ht="32.15" x14ac:dyDescent="0.7">
      <c r="A1" s="10" t="s">
        <v>701</v>
      </c>
    </row>
    <row r="3" spans="1:2" x14ac:dyDescent="0.3">
      <c r="A3" t="s">
        <v>702</v>
      </c>
      <c r="B3" s="11" t="s">
        <v>688</v>
      </c>
    </row>
    <row r="4" spans="1:2" x14ac:dyDescent="0.3">
      <c r="A4" t="s">
        <v>703</v>
      </c>
      <c r="B4" s="7">
        <f>_xlfn.XLOOKUP(Sheet2!B3,Sheet1!1:1,Sheet1!2:2)</f>
        <v>180000</v>
      </c>
    </row>
    <row r="5" spans="1:2" x14ac:dyDescent="0.3">
      <c r="A5" t="s">
        <v>704</v>
      </c>
      <c r="B5" s="7">
        <f>_xlfn.XLOOKUP(B3,Sheet1!1:1,Sheet1!3:3)</f>
        <v>130000</v>
      </c>
    </row>
  </sheetData>
  <dataConsolidate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865DE5-FA17-471B-A451-BB1108CE961D}">
          <x14:formula1>
            <xm:f>Sheet1!$B$1:$M$1</xm:f>
          </x14:formula1>
          <xm:sqref>B3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03A0E6-3A2E-4BB0-A9D6-234E77A372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9EXPERT-VLOOKUP(9EXPERT ORDERS)</vt:lpstr>
      <vt:lpstr>(CUSTOMERS)</vt:lpstr>
      <vt:lpstr>(PRODUCTS)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Bhupha Palasuk</dc:creator>
  <cp:lastModifiedBy>Bhupha Palasuk</cp:lastModifiedBy>
  <dcterms:created xsi:type="dcterms:W3CDTF">2026-03-30T06:16:53Z</dcterms:created>
  <dcterms:modified xsi:type="dcterms:W3CDTF">2026-03-30T06:52:27Z</dcterms:modified>
</cp:coreProperties>
</file>