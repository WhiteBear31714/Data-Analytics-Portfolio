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Lenovo\Desktop\Excel_analyst\"/>
    </mc:Choice>
  </mc:AlternateContent>
  <xr:revisionPtr revIDLastSave="0" documentId="13_ncr:1_{6E034413-7235-49FB-9656-A22DD24BC898}" xr6:coauthVersionLast="47" xr6:coauthVersionMax="47" xr10:uidLastSave="{00000000-0000-0000-0000-000000000000}"/>
  <bookViews>
    <workbookView xWindow="-103" yWindow="-103" windowWidth="24892" windowHeight="14914" xr2:uid="{00000000-000D-0000-FFFF-FFFF00000000}"/>
  </bookViews>
  <sheets>
    <sheet name="PivotTable" sheetId="2" r:id="rId1"/>
    <sheet name="Data" sheetId="1" r:id="rId2"/>
  </sheets>
  <definedNames>
    <definedName name="Slicer_Months__วันที่">#N/A</definedName>
    <definedName name="Slicer_ชื่อสินค้า">#N/A</definedName>
    <definedName name="Slicer_แพลตฟอร์ม">#N/A</definedName>
    <definedName name="Slicer_หมวดหมู่สินค้า">#N/A</definedName>
    <definedName name="Slicer_หมวดหมู่สินค้า1">#N/A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<sst xmlns="http://schemas.openxmlformats.org/spreadsheetml/2006/main" count="171" uniqueCount="64">
  <si>
    <t>วันที่</t>
  </si>
  <si>
    <t>ชื่อสินค้า</t>
  </si>
  <si>
    <t>หมวดหมู่สินค้า</t>
  </si>
  <si>
    <t>จำนวน</t>
  </si>
  <si>
    <t>แพลตฟอร์ม</t>
  </si>
  <si>
    <t>น้ำหอม</t>
  </si>
  <si>
    <t>ผลิตภัณฑ์ดูแลผิว</t>
  </si>
  <si>
    <t>ผลิตภัณฑ์ดูแลผม</t>
  </si>
  <si>
    <t>เครื่องสำอาง</t>
  </si>
  <si>
    <t>เสื้อผ้า</t>
  </si>
  <si>
    <t>รองเท้า</t>
  </si>
  <si>
    <t>Dazala</t>
  </si>
  <si>
    <t>TokTok</t>
  </si>
  <si>
    <t>น้ำหอม #1</t>
  </si>
  <si>
    <t>น้ำหอม #2</t>
  </si>
  <si>
    <t>น้ำหอม #3</t>
  </si>
  <si>
    <t>เซรั่มบำรุงผิว #1</t>
  </si>
  <si>
    <t>เซรั่มบำรุงผิว #2</t>
  </si>
  <si>
    <t>เซรั่มบำรุงผิว #3</t>
  </si>
  <si>
    <t>เสื้อยืด #1</t>
  </si>
  <si>
    <t>เสื้อยืด #2</t>
  </si>
  <si>
    <t>เสื้อยืด #3</t>
  </si>
  <si>
    <t>แชมพู #1</t>
  </si>
  <si>
    <t>แชมพู #2</t>
  </si>
  <si>
    <t>แชมพู #3</t>
  </si>
  <si>
    <t>กางเกงยีนส์ #1</t>
  </si>
  <si>
    <t>กางเกงยีนส์ #2</t>
  </si>
  <si>
    <t>กางเกงยีนส์ #3</t>
  </si>
  <si>
    <t>ครีมกันแดด #1</t>
  </si>
  <si>
    <t>ครีมกันแดด #2</t>
  </si>
  <si>
    <t>ครีมกันแดด #3</t>
  </si>
  <si>
    <t>มาสคาร่า #1</t>
  </si>
  <si>
    <t>มาสคาร่า #2</t>
  </si>
  <si>
    <t>มาสคาร่า #3</t>
  </si>
  <si>
    <t>รองเท้าผ้าใบ #1</t>
  </si>
  <si>
    <t>รองเท้าผ้าใบ #2</t>
  </si>
  <si>
    <t>รองเท้าผ้าใบ #3</t>
  </si>
  <si>
    <t>รองพื้น #1</t>
  </si>
  <si>
    <t>รองพื้น #2</t>
  </si>
  <si>
    <t>รองพื้น #3</t>
  </si>
  <si>
    <t>ลิปสติก #4</t>
  </si>
  <si>
    <t>ลิปสติก #5</t>
  </si>
  <si>
    <t>ลิปสติก #6</t>
  </si>
  <si>
    <t>ต้นทุนรวม</t>
  </si>
  <si>
    <t>รายได้</t>
  </si>
  <si>
    <t>Row Labels</t>
  </si>
  <si>
    <t>Grand Total</t>
  </si>
  <si>
    <t>Column Labels</t>
  </si>
  <si>
    <t>Sum of รายได้</t>
  </si>
  <si>
    <t>ก.พ.</t>
  </si>
  <si>
    <t>มี.ค.</t>
  </si>
  <si>
    <t>เม.ย.</t>
  </si>
  <si>
    <t>พ.ค.</t>
  </si>
  <si>
    <t>มิ.ย.</t>
  </si>
  <si>
    <t>ก.ค.</t>
  </si>
  <si>
    <t>ม.ค.</t>
  </si>
  <si>
    <t>ส.ค.</t>
  </si>
  <si>
    <t>Sum of จำนวน</t>
  </si>
  <si>
    <t>Sum of ต้นทุนรวม</t>
  </si>
  <si>
    <t xml:space="preserve">*จากกราฟทำให้เราได้รู้ว่า Poduct เอกของเราทั้ง 3 แพ็ดพอร์มคือ "เครื่องสำอาง" </t>
  </si>
  <si>
    <t>*</t>
  </si>
  <si>
    <t>lazada</t>
  </si>
  <si>
    <t>TikTok</t>
  </si>
  <si>
    <t>Shoppee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</si>
</sst>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87" formatCode="[$-1070000]d/m/yy;@"/>
    <numFmt numFmtId="188" formatCode="_-* #,##0_-;\-* #,##0_-;_-* &quot;-&quot;??_-;_-@_-"/>
  </numFmts>
  <fonts count="4" x14ac:knownFonts="1">
    <font>
      <sz val="11"/>
      <color theme="1"/>
      <name val="Tahoma"/>
      <family val="2"/>
      <scheme val="minor"/>
    </font>
    <font>
      <sz val="11"/>
      <color theme="1"/>
      <name val="Tahoma"/>
      <family val="2"/>
      <scheme val="minor"/>
    </font>
    <font>
      <b/>
      <sz val="11"/>
      <color theme="1"/>
      <name val="Tahoma"/>
      <family val="2"/>
      <scheme val="major"/>
    </font>
    <font>
      <sz val="11"/>
      <color theme="1"/>
      <name val="Tahoma"/>
      <family val="2"/>
      <scheme val="maj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2" fillId="0" borderId="5" xfId="0" applyFont="1" applyBorder="1" applyAlignment="1">
      <alignment horizontal="center" vertical="top"/>
    </xf>
    <xf numFmtId="43" fontId="2" fillId="0" borderId="5" xfId="1" applyFont="1" applyBorder="1" applyAlignment="1">
      <alignment horizontal="center" vertical="top"/>
    </xf>
    <xf numFmtId="0" fontId="2" fillId="0" borderId="6" xfId="0" applyFont="1" applyBorder="1" applyAlignment="1">
      <alignment horizontal="center" vertical="top"/>
    </xf>
    <xf numFmtId="0" fontId="3" fillId="0" borderId="0" xfId="0" applyFont="1"/>
    <xf numFmtId="0" fontId="3" fillId="0" borderId="1" xfId="0" applyFont="1" applyBorder="1"/>
    <xf numFmtId="43" fontId="3" fillId="0" borderId="1" xfId="1" applyFont="1" applyBorder="1"/>
    <xf numFmtId="0" fontId="3" fillId="0" borderId="3" xfId="0" applyFont="1" applyBorder="1"/>
    <xf numFmtId="14" fontId="3" fillId="0" borderId="0" xfId="0" applyNumberFormat="1" applyFont="1"/>
    <xf numFmtId="0" fontId="3" fillId="0" borderId="8" xfId="0" applyFont="1" applyBorder="1"/>
    <xf numFmtId="43" fontId="3" fillId="0" borderId="8" xfId="1" applyFont="1" applyBorder="1"/>
    <xf numFmtId="0" fontId="3" fillId="0" borderId="9" xfId="0" applyFont="1" applyBorder="1"/>
    <xf numFmtId="43" fontId="3" fillId="0" borderId="0" xfId="1" applyFont="1"/>
    <xf numFmtId="187" fontId="2" fillId="0" borderId="4" xfId="0" applyNumberFormat="1" applyFont="1" applyBorder="1" applyAlignment="1">
      <alignment horizontal="center" vertical="top"/>
    </xf>
    <xf numFmtId="187" fontId="3" fillId="0" borderId="2" xfId="0" applyNumberFormat="1" applyFont="1" applyBorder="1"/>
    <xf numFmtId="187" fontId="3" fillId="0" borderId="7" xfId="0" applyNumberFormat="1" applyFont="1" applyBorder="1"/>
    <xf numFmtId="187" fontId="3" fillId="0" borderId="0" xfId="0" applyNumberFormat="1" applyFont="1"/>
    <xf numFmtId="0" fontId="0" fillId="0" borderId="0" xfId="0" pivotButton="1"/>
    <xf numFmtId="0" fontId="0" fillId="0" borderId="0" xfId="0" applyAlignment="1">
      <alignment horizontal="left"/>
    </xf>
    <xf numFmtId="188" fontId="0" fillId="0" borderId="0" xfId="0" applyNumberFormat="1"/>
  </cellXfs>
  <cellStyles count="2">
    <cellStyle name="Comma" xfId="1" builtinId="3"/>
    <cellStyle name="Normal" xfId="0" builtinId="0"/>
  </cellStyles>
  <dxfs count="18">
    <dxf>
      <font>
        <b val="0"/>
        <i val="0"/>
        <strike val="0"/>
        <condense val="0"/>
        <extend val="0"/>
        <outline val="0"/>
        <shadow val="0"/>
        <u val="none"/>
        <vertAlign val="baseline"/>
        <sz val="11"/>
        <color theme="1"/>
        <name val="Tahoma"/>
        <family val="2"/>
        <scheme val="major"/>
      </font>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Tahoma"/>
        <family val="2"/>
        <scheme val="maj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ahoma"/>
        <family val="2"/>
        <scheme val="maj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ahoma"/>
        <family val="2"/>
        <scheme val="maj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ahoma"/>
        <family val="2"/>
        <scheme val="maj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ahoma"/>
        <family val="2"/>
        <scheme val="maj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ahoma"/>
        <family val="2"/>
        <scheme val="major"/>
      </font>
      <numFmt numFmtId="187" formatCode="[$-1070000]d/m/yy;@"/>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Tahoma"/>
        <family val="2"/>
        <scheme val="major"/>
      </font>
    </dxf>
    <dxf>
      <border outline="0">
        <bottom style="thin">
          <color auto="1"/>
        </bottom>
      </border>
    </dxf>
    <dxf>
      <font>
        <b/>
        <i val="0"/>
        <strike val="0"/>
        <condense val="0"/>
        <extend val="0"/>
        <outline val="0"/>
        <shadow val="0"/>
        <u val="none"/>
        <vertAlign val="baseline"/>
        <sz val="11"/>
        <color theme="1"/>
        <name val="Tahoma"/>
        <family val="2"/>
        <scheme val="major"/>
      </font>
      <alignment horizontal="center" vertical="top" textRotation="0" wrapText="0" indent="0" justifyLastLine="0" shrinkToFit="0" readingOrder="0"/>
      <border diagonalUp="0" diagonalDown="0" outline="0">
        <left style="thin">
          <color auto="1"/>
        </left>
        <right style="thin">
          <color auto="1"/>
        </right>
        <top/>
        <bottom/>
      </border>
    </dxf>
    <dxf>
      <numFmt numFmtId="188" formatCode="_-* #,##0_-;\-* #,##0_-;_-* &quot;-&quot;??_-;_-@_-"/>
    </dxf>
    <dxf>
      <numFmt numFmtId="188" formatCode="_-* #,##0_-;\-* #,##0_-;_-* &quot;-&quot;??_-;_-@_-"/>
    </dxf>
    <dxf>
      <numFmt numFmtId="188" formatCode="_-* #,##0_-;\-* #,##0_-;_-* &quot;-&quot;??_-;_-@_-"/>
    </dxf>
    <dxf>
      <numFmt numFmtId="188" formatCode="_-* #,##0_-;\-* #,##0_-;_-* &quot;-&quot;??_-;_-@_-"/>
    </dxf>
    <dxf>
      <numFmt numFmtId="188" formatCode="_-* #,##0_-;\-* #,##0_-;_-* &quot;-&quot;??_-;_-@_-"/>
    </dxf>
    <dxf>
      <numFmt numFmtId="188"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เครื่องสำอาง</c:v>
                </c:pt>
              </c:strCache>
            </c:strRef>
          </c:tx>
          <c:spPr>
            <a:solidFill>
              <a:schemeClr val="accent1"/>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PivotTable!$B$5:$B$13</c:f>
              <c:numCache>
                <c:formatCode>_-* #,##0_-;\-* #,##0_-;_-* "-"??_-;_-@_-</c:formatCode>
                <c:ptCount val="8"/>
                <c:pt idx="1">
                  <c:v>139</c:v>
                </c:pt>
                <c:pt idx="2">
                  <c:v>146</c:v>
                </c:pt>
                <c:pt idx="3">
                  <c:v>337</c:v>
                </c:pt>
                <c:pt idx="4">
                  <c:v>510</c:v>
                </c:pt>
                <c:pt idx="5">
                  <c:v>853</c:v>
                </c:pt>
                <c:pt idx="6">
                  <c:v>67</c:v>
                </c:pt>
              </c:numCache>
            </c:numRef>
          </c:val>
          <c:extLst>
            <c:ext xmlns:c16="http://schemas.microsoft.com/office/drawing/2014/chart" uri="{C3380CC4-5D6E-409C-BE32-E72D297353CC}">
              <c16:uniqueId val="{00000000-1A7E-40CD-944D-518DA870AD78}"/>
            </c:ext>
          </c:extLst>
        </c:ser>
        <c:ser>
          <c:idx val="1"/>
          <c:order val="1"/>
          <c:tx>
            <c:strRef>
              <c:f>PivotTable!$C$3:$C$4</c:f>
              <c:strCache>
                <c:ptCount val="1"/>
                <c:pt idx="0">
                  <c:v>น้ำหอม</c:v>
                </c:pt>
              </c:strCache>
            </c:strRef>
          </c:tx>
          <c:spPr>
            <a:solidFill>
              <a:schemeClr val="accent2"/>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PivotTable!$C$5:$C$13</c:f>
              <c:numCache>
                <c:formatCode>_-* #,##0_-;\-* #,##0_-;_-* "-"??_-;_-@_-</c:formatCode>
                <c:ptCount val="8"/>
                <c:pt idx="2">
                  <c:v>576</c:v>
                </c:pt>
                <c:pt idx="3">
                  <c:v>527</c:v>
                </c:pt>
                <c:pt idx="4">
                  <c:v>238</c:v>
                </c:pt>
              </c:numCache>
            </c:numRef>
          </c:val>
          <c:extLst>
            <c:ext xmlns:c16="http://schemas.microsoft.com/office/drawing/2014/chart" uri="{C3380CC4-5D6E-409C-BE32-E72D297353CC}">
              <c16:uniqueId val="{00000036-A0EE-4F96-AF69-4C251D0F41F9}"/>
            </c:ext>
          </c:extLst>
        </c:ser>
        <c:ser>
          <c:idx val="2"/>
          <c:order val="2"/>
          <c:tx>
            <c:strRef>
              <c:f>PivotTable!$D$3:$D$4</c:f>
              <c:strCache>
                <c:ptCount val="1"/>
                <c:pt idx="0">
                  <c:v>ผลิตภัณฑ์ดูแลผม</c:v>
                </c:pt>
              </c:strCache>
            </c:strRef>
          </c:tx>
          <c:spPr>
            <a:solidFill>
              <a:schemeClr val="accent3"/>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PivotTable!$D$5:$D$13</c:f>
              <c:numCache>
                <c:formatCode>_-* #,##0_-;\-* #,##0_-;_-* "-"??_-;_-@_-</c:formatCode>
                <c:ptCount val="8"/>
                <c:pt idx="0">
                  <c:v>312</c:v>
                </c:pt>
                <c:pt idx="4">
                  <c:v>142</c:v>
                </c:pt>
              </c:numCache>
            </c:numRef>
          </c:val>
          <c:extLst>
            <c:ext xmlns:c16="http://schemas.microsoft.com/office/drawing/2014/chart" uri="{C3380CC4-5D6E-409C-BE32-E72D297353CC}">
              <c16:uniqueId val="{00000037-A0EE-4F96-AF69-4C251D0F41F9}"/>
            </c:ext>
          </c:extLst>
        </c:ser>
        <c:ser>
          <c:idx val="3"/>
          <c:order val="3"/>
          <c:tx>
            <c:strRef>
              <c:f>PivotTable!$E$3:$E$4</c:f>
              <c:strCache>
                <c:ptCount val="1"/>
                <c:pt idx="0">
                  <c:v>ผลิตภัณฑ์ดูแลผิว</c:v>
                </c:pt>
              </c:strCache>
            </c:strRef>
          </c:tx>
          <c:spPr>
            <a:solidFill>
              <a:schemeClr val="accent4"/>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PivotTable!$E$5:$E$13</c:f>
              <c:numCache>
                <c:formatCode>_-* #,##0_-;\-* #,##0_-;_-* "-"??_-;_-@_-</c:formatCode>
                <c:ptCount val="8"/>
                <c:pt idx="0">
                  <c:v>106</c:v>
                </c:pt>
                <c:pt idx="1">
                  <c:v>142</c:v>
                </c:pt>
                <c:pt idx="2">
                  <c:v>348</c:v>
                </c:pt>
                <c:pt idx="4">
                  <c:v>252</c:v>
                </c:pt>
                <c:pt idx="6">
                  <c:v>303</c:v>
                </c:pt>
                <c:pt idx="7">
                  <c:v>396</c:v>
                </c:pt>
              </c:numCache>
            </c:numRef>
          </c:val>
          <c:extLst>
            <c:ext xmlns:c16="http://schemas.microsoft.com/office/drawing/2014/chart" uri="{C3380CC4-5D6E-409C-BE32-E72D297353CC}">
              <c16:uniqueId val="{0000000A-F3A3-4152-BC71-56515EC0F504}"/>
            </c:ext>
          </c:extLst>
        </c:ser>
        <c:ser>
          <c:idx val="4"/>
          <c:order val="4"/>
          <c:tx>
            <c:strRef>
              <c:f>PivotTable!$F$3:$F$4</c:f>
              <c:strCache>
                <c:ptCount val="1"/>
                <c:pt idx="0">
                  <c:v>รองเท้า</c:v>
                </c:pt>
              </c:strCache>
            </c:strRef>
          </c:tx>
          <c:spPr>
            <a:solidFill>
              <a:schemeClr val="accent5"/>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PivotTable!$F$5:$F$13</c:f>
              <c:numCache>
                <c:formatCode>_-* #,##0_-;\-* #,##0_-;_-* "-"??_-;_-@_-</c:formatCode>
                <c:ptCount val="8"/>
                <c:pt idx="3">
                  <c:v>819</c:v>
                </c:pt>
              </c:numCache>
            </c:numRef>
          </c:val>
          <c:extLst>
            <c:ext xmlns:c16="http://schemas.microsoft.com/office/drawing/2014/chart" uri="{C3380CC4-5D6E-409C-BE32-E72D297353CC}">
              <c16:uniqueId val="{0000000B-F3A3-4152-BC71-56515EC0F504}"/>
            </c:ext>
          </c:extLst>
        </c:ser>
        <c:ser>
          <c:idx val="5"/>
          <c:order val="5"/>
          <c:tx>
            <c:strRef>
              <c:f>PivotTable!$G$3:$G$4</c:f>
              <c:strCache>
                <c:ptCount val="1"/>
                <c:pt idx="0">
                  <c:v>เสื้อผ้า</c:v>
                </c:pt>
              </c:strCache>
            </c:strRef>
          </c:tx>
          <c:spPr>
            <a:solidFill>
              <a:schemeClr val="accent6"/>
            </a:solidFill>
            <a:ln>
              <a:noFill/>
            </a:ln>
            <a:effectLst/>
          </c:spPr>
          <c:invertIfNegative val="0"/>
          <c:cat>
            <c:strRef>
              <c:f>PivotTable!$A$5:$A$13</c:f>
              <c:strCache>
                <c:ptCount val="8"/>
                <c:pt idx="0">
                  <c:v>ม.ค.</c:v>
                </c:pt>
                <c:pt idx="1">
                  <c:v>ก.พ.</c:v>
                </c:pt>
                <c:pt idx="2">
                  <c:v>มี.ค.</c:v>
                </c:pt>
                <c:pt idx="3">
                  <c:v>เม.ย.</c:v>
                </c:pt>
                <c:pt idx="4">
                  <c:v>พ.ค.</c:v>
                </c:pt>
                <c:pt idx="5">
                  <c:v>มิ.ย.</c:v>
                </c:pt>
                <c:pt idx="6">
                  <c:v>ก.ค.</c:v>
                </c:pt>
                <c:pt idx="7">
                  <c:v>ส.ค.</c:v>
                </c:pt>
              </c:strCache>
            </c:strRef>
          </c:cat>
          <c:val>
            <c:numRef>
              <c:f>PivotTable!$G$5:$G$13</c:f>
              <c:numCache>
                <c:formatCode>_-* #,##0_-;\-* #,##0_-;_-* "-"??_-;_-@_-</c:formatCode>
                <c:ptCount val="8"/>
                <c:pt idx="1">
                  <c:v>63</c:v>
                </c:pt>
                <c:pt idx="2">
                  <c:v>590</c:v>
                </c:pt>
                <c:pt idx="4">
                  <c:v>63</c:v>
                </c:pt>
              </c:numCache>
            </c:numRef>
          </c:val>
          <c:extLst>
            <c:ext xmlns:c16="http://schemas.microsoft.com/office/drawing/2014/chart" uri="{C3380CC4-5D6E-409C-BE32-E72D297353CC}">
              <c16:uniqueId val="{0000000C-F3A3-4152-BC71-56515EC0F504}"/>
            </c:ext>
          </c:extLst>
        </c:ser>
        <c:dLbls>
          <c:showLegendKey val="0"/>
          <c:showVal val="0"/>
          <c:showCatName val="0"/>
          <c:showSerName val="0"/>
          <c:showPercent val="0"/>
          <c:showBubbleSize val="0"/>
        </c:dLbls>
        <c:gapWidth val="150"/>
        <c:axId val="1724082512"/>
        <c:axId val="1724081552"/>
      </c:barChart>
      <c:catAx>
        <c:axId val="172408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724081552"/>
        <c:crosses val="autoZero"/>
        <c:auto val="1"/>
        <c:lblAlgn val="ctr"/>
        <c:lblOffset val="100"/>
        <c:noMultiLvlLbl val="0"/>
      </c:catAx>
      <c:valAx>
        <c:axId val="17240815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724082512"/>
        <c:crosses val="autoZero"/>
        <c:crossBetween val="between"/>
      </c:valAx>
      <c:spPr>
        <a:noFill/>
        <a:ln>
          <a:noFill/>
        </a:ln>
        <a:effectLst/>
      </c:spPr>
    </c:plotArea>
    <c:legend>
      <c:legendPos val="r"/>
      <c:layout>
        <c:manualLayout>
          <c:xMode val="edge"/>
          <c:yMode val="edge"/>
          <c:x val="0.83861272954737798"/>
          <c:y val="0.1760404802716706"/>
          <c:w val="0.13970288229341246"/>
          <c:h val="0.54816768298404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b="1"/>
              <a:t>ต้นทุนรวมของแต่ละเดือน</a:t>
            </a:r>
            <a:endParaRPr lang="en-US" b="1"/>
          </a:p>
        </c:rich>
      </c:tx>
      <c:layout>
        <c:manualLayout>
          <c:xMode val="edge"/>
          <c:yMode val="edge"/>
          <c:x val="0.34176692732059194"/>
          <c:y val="3.4741110161317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36819631746156E-2"/>
          <c:y val="0.15593429936273973"/>
          <c:w val="0.79105113155233409"/>
          <c:h val="0.62694085147547196"/>
        </c:manualLayout>
      </c:layout>
      <c:barChart>
        <c:barDir val="col"/>
        <c:grouping val="clustered"/>
        <c:varyColors val="0"/>
        <c:ser>
          <c:idx val="0"/>
          <c:order val="0"/>
          <c:tx>
            <c:strRef>
              <c:f>PivotTable!$B$17:$B$18</c:f>
              <c:strCache>
                <c:ptCount val="1"/>
                <c:pt idx="0">
                  <c:v>เครื่องสำอาง</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PivotTable!$A$19:$A$25</c:f>
              <c:strCache>
                <c:ptCount val="6"/>
                <c:pt idx="0">
                  <c:v>ก.พ.</c:v>
                </c:pt>
                <c:pt idx="1">
                  <c:v>มี.ค.</c:v>
                </c:pt>
                <c:pt idx="2">
                  <c:v>เม.ย.</c:v>
                </c:pt>
                <c:pt idx="3">
                  <c:v>พ.ค.</c:v>
                </c:pt>
                <c:pt idx="4">
                  <c:v>มิ.ย.</c:v>
                </c:pt>
                <c:pt idx="5">
                  <c:v>ก.ค.</c:v>
                </c:pt>
              </c:strCache>
            </c:strRef>
          </c:cat>
          <c:val>
            <c:numRef>
              <c:f>PivotTable!$B$19:$B$25</c:f>
              <c:numCache>
                <c:formatCode>_-* #,##0_-;\-* #,##0_-;_-* "-"??_-;_-@_-</c:formatCode>
                <c:ptCount val="6"/>
                <c:pt idx="0">
                  <c:v>131.99</c:v>
                </c:pt>
                <c:pt idx="1">
                  <c:v>133.74</c:v>
                </c:pt>
                <c:pt idx="2">
                  <c:v>269.66000000000003</c:v>
                </c:pt>
                <c:pt idx="3">
                  <c:v>440.53</c:v>
                </c:pt>
                <c:pt idx="4">
                  <c:v>770.33</c:v>
                </c:pt>
                <c:pt idx="5">
                  <c:v>56.66</c:v>
                </c:pt>
              </c:numCache>
            </c:numRef>
          </c:val>
          <c:extLst>
            <c:ext xmlns:c16="http://schemas.microsoft.com/office/drawing/2014/chart" uri="{C3380CC4-5D6E-409C-BE32-E72D297353CC}">
              <c16:uniqueId val="{00000000-4F6B-42C9-B89A-8C47CAF64EBA}"/>
            </c:ext>
          </c:extLst>
        </c:ser>
        <c:ser>
          <c:idx val="1"/>
          <c:order val="1"/>
          <c:tx>
            <c:strRef>
              <c:f>PivotTable!$C$17:$C$18</c:f>
              <c:strCache>
                <c:ptCount val="1"/>
                <c:pt idx="0">
                  <c:v>น้ำหอม</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PivotTable!$A$19:$A$25</c:f>
              <c:strCache>
                <c:ptCount val="6"/>
                <c:pt idx="0">
                  <c:v>ก.พ.</c:v>
                </c:pt>
                <c:pt idx="1">
                  <c:v>มี.ค.</c:v>
                </c:pt>
                <c:pt idx="2">
                  <c:v>เม.ย.</c:v>
                </c:pt>
                <c:pt idx="3">
                  <c:v>พ.ค.</c:v>
                </c:pt>
                <c:pt idx="4">
                  <c:v>มิ.ย.</c:v>
                </c:pt>
                <c:pt idx="5">
                  <c:v>ก.ค.</c:v>
                </c:pt>
              </c:strCache>
            </c:strRef>
          </c:cat>
          <c:val>
            <c:numRef>
              <c:f>PivotTable!$C$19:$C$25</c:f>
              <c:numCache>
                <c:formatCode>_-* #,##0_-;\-* #,##0_-;_-* "-"??_-;_-@_-</c:formatCode>
                <c:ptCount val="6"/>
                <c:pt idx="1">
                  <c:v>457.39</c:v>
                </c:pt>
                <c:pt idx="2">
                  <c:v>414.88</c:v>
                </c:pt>
                <c:pt idx="3">
                  <c:v>195.39</c:v>
                </c:pt>
              </c:numCache>
            </c:numRef>
          </c:val>
          <c:extLst>
            <c:ext xmlns:c16="http://schemas.microsoft.com/office/drawing/2014/chart" uri="{C3380CC4-5D6E-409C-BE32-E72D297353CC}">
              <c16:uniqueId val="{00000007-6E72-4C93-8EDD-CA7E518225B0}"/>
            </c:ext>
          </c:extLst>
        </c:ser>
        <c:ser>
          <c:idx val="2"/>
          <c:order val="2"/>
          <c:tx>
            <c:strRef>
              <c:f>PivotTable!$D$17:$D$18</c:f>
              <c:strCache>
                <c:ptCount val="1"/>
                <c:pt idx="0">
                  <c:v>เสื้อผ้า</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PivotTable!$A$19:$A$25</c:f>
              <c:strCache>
                <c:ptCount val="6"/>
                <c:pt idx="0">
                  <c:v>ก.พ.</c:v>
                </c:pt>
                <c:pt idx="1">
                  <c:v>มี.ค.</c:v>
                </c:pt>
                <c:pt idx="2">
                  <c:v>เม.ย.</c:v>
                </c:pt>
                <c:pt idx="3">
                  <c:v>พ.ค.</c:v>
                </c:pt>
                <c:pt idx="4">
                  <c:v>มิ.ย.</c:v>
                </c:pt>
                <c:pt idx="5">
                  <c:v>ก.ค.</c:v>
                </c:pt>
              </c:strCache>
            </c:strRef>
          </c:cat>
          <c:val>
            <c:numRef>
              <c:f>PivotTable!$D$19:$D$25</c:f>
              <c:numCache>
                <c:formatCode>_-* #,##0_-;\-* #,##0_-;_-* "-"??_-;_-@_-</c:formatCode>
                <c:ptCount val="6"/>
                <c:pt idx="0">
                  <c:v>52.25</c:v>
                </c:pt>
                <c:pt idx="1">
                  <c:v>475.37</c:v>
                </c:pt>
                <c:pt idx="3">
                  <c:v>56.02</c:v>
                </c:pt>
              </c:numCache>
            </c:numRef>
          </c:val>
          <c:extLst>
            <c:ext xmlns:c16="http://schemas.microsoft.com/office/drawing/2014/chart" uri="{C3380CC4-5D6E-409C-BE32-E72D297353CC}">
              <c16:uniqueId val="{00000009-6E72-4C93-8EDD-CA7E518225B0}"/>
            </c:ext>
          </c:extLst>
        </c:ser>
        <c:dLbls>
          <c:dLblPos val="outEnd"/>
          <c:showLegendKey val="0"/>
          <c:showVal val="1"/>
          <c:showCatName val="0"/>
          <c:showSerName val="0"/>
          <c:showPercent val="0"/>
          <c:showBubbleSize val="0"/>
        </c:dLbls>
        <c:gapWidth val="219"/>
        <c:overlap val="-27"/>
        <c:axId val="2039342016"/>
        <c:axId val="2039337696"/>
      </c:barChart>
      <c:catAx>
        <c:axId val="20393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9337696"/>
        <c:crosses val="autoZero"/>
        <c:auto val="1"/>
        <c:lblAlgn val="ctr"/>
        <c:lblOffset val="100"/>
        <c:noMultiLvlLbl val="0"/>
      </c:catAx>
      <c:valAx>
        <c:axId val="203933769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9342016"/>
        <c:crosses val="autoZero"/>
        <c:crossBetween val="between"/>
      </c:valAx>
      <c:spPr>
        <a:noFill/>
        <a:ln>
          <a:noFill/>
        </a:ln>
        <a:effectLst/>
      </c:spPr>
    </c:plotArea>
    <c:legend>
      <c:legendPos val="r"/>
      <c:layout>
        <c:manualLayout>
          <c:xMode val="edge"/>
          <c:yMode val="edge"/>
          <c:x val="0.84929720872509251"/>
          <c:y val="0.37855538165465435"/>
          <c:w val="0.12787967576427073"/>
          <c:h val="0.29766509740242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b="1"/>
              <a:t>ยอดสั้งซื่อสินค้าต่อเดือน</a:t>
            </a:r>
            <a:r>
              <a:rPr lang="th-TH"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PivotTable!$B$33:$B$34</c:f>
              <c:strCache>
                <c:ptCount val="1"/>
                <c:pt idx="0">
                  <c:v>น้ำหอม</c:v>
                </c:pt>
              </c:strCache>
            </c:strRef>
          </c:tx>
          <c:spPr>
            <a:solidFill>
              <a:schemeClr val="accent1"/>
            </a:solidFill>
            <a:ln>
              <a:noFill/>
            </a:ln>
            <a:effectLst/>
          </c:spPr>
          <c:invertIfNegative val="0"/>
          <c:cat>
            <c:strRef>
              <c:f>PivotTable!$A$35:$A$39</c:f>
              <c:strCache>
                <c:ptCount val="4"/>
                <c:pt idx="0">
                  <c:v>ก.พ.</c:v>
                </c:pt>
                <c:pt idx="1">
                  <c:v>มี.ค.</c:v>
                </c:pt>
                <c:pt idx="2">
                  <c:v>เม.ย.</c:v>
                </c:pt>
                <c:pt idx="3">
                  <c:v>พ.ค.</c:v>
                </c:pt>
              </c:strCache>
            </c:strRef>
          </c:cat>
          <c:val>
            <c:numRef>
              <c:f>PivotTable!$B$35:$B$39</c:f>
              <c:numCache>
                <c:formatCode>_-* #,##0_-;\-* #,##0_-;_-* "-"??_-;_-@_-</c:formatCode>
                <c:ptCount val="4"/>
                <c:pt idx="1">
                  <c:v>79</c:v>
                </c:pt>
                <c:pt idx="2">
                  <c:v>28</c:v>
                </c:pt>
                <c:pt idx="3">
                  <c:v>41</c:v>
                </c:pt>
              </c:numCache>
            </c:numRef>
          </c:val>
          <c:extLst>
            <c:ext xmlns:c16="http://schemas.microsoft.com/office/drawing/2014/chart" uri="{C3380CC4-5D6E-409C-BE32-E72D297353CC}">
              <c16:uniqueId val="{00000000-0BAD-4D66-9273-BBD2CE96F7B4}"/>
            </c:ext>
          </c:extLst>
        </c:ser>
        <c:ser>
          <c:idx val="1"/>
          <c:order val="1"/>
          <c:tx>
            <c:strRef>
              <c:f>PivotTable!$C$33:$C$34</c:f>
              <c:strCache>
                <c:ptCount val="1"/>
                <c:pt idx="0">
                  <c:v>รองเท้า</c:v>
                </c:pt>
              </c:strCache>
            </c:strRef>
          </c:tx>
          <c:spPr>
            <a:solidFill>
              <a:schemeClr val="accent2"/>
            </a:solidFill>
            <a:ln>
              <a:noFill/>
            </a:ln>
            <a:effectLst/>
          </c:spPr>
          <c:invertIfNegative val="0"/>
          <c:cat>
            <c:strRef>
              <c:f>PivotTable!$A$35:$A$39</c:f>
              <c:strCache>
                <c:ptCount val="4"/>
                <c:pt idx="0">
                  <c:v>ก.พ.</c:v>
                </c:pt>
                <c:pt idx="1">
                  <c:v>มี.ค.</c:v>
                </c:pt>
                <c:pt idx="2">
                  <c:v>เม.ย.</c:v>
                </c:pt>
                <c:pt idx="3">
                  <c:v>พ.ค.</c:v>
                </c:pt>
              </c:strCache>
            </c:strRef>
          </c:cat>
          <c:val>
            <c:numRef>
              <c:f>PivotTable!$C$35:$C$39</c:f>
              <c:numCache>
                <c:formatCode>_-* #,##0_-;\-* #,##0_-;_-* "-"??_-;_-@_-</c:formatCode>
                <c:ptCount val="4"/>
                <c:pt idx="2">
                  <c:v>71</c:v>
                </c:pt>
              </c:numCache>
            </c:numRef>
          </c:val>
          <c:extLst>
            <c:ext xmlns:c16="http://schemas.microsoft.com/office/drawing/2014/chart" uri="{C3380CC4-5D6E-409C-BE32-E72D297353CC}">
              <c16:uniqueId val="{00000002-C79B-478E-A26B-6A4E84961058}"/>
            </c:ext>
          </c:extLst>
        </c:ser>
        <c:ser>
          <c:idx val="2"/>
          <c:order val="2"/>
          <c:tx>
            <c:strRef>
              <c:f>PivotTable!$D$33:$D$34</c:f>
              <c:strCache>
                <c:ptCount val="1"/>
                <c:pt idx="0">
                  <c:v>เสื้อผ้า</c:v>
                </c:pt>
              </c:strCache>
            </c:strRef>
          </c:tx>
          <c:spPr>
            <a:solidFill>
              <a:schemeClr val="accent3"/>
            </a:solidFill>
            <a:ln>
              <a:noFill/>
            </a:ln>
            <a:effectLst/>
          </c:spPr>
          <c:invertIfNegative val="0"/>
          <c:cat>
            <c:strRef>
              <c:f>PivotTable!$A$35:$A$39</c:f>
              <c:strCache>
                <c:ptCount val="4"/>
                <c:pt idx="0">
                  <c:v>ก.พ.</c:v>
                </c:pt>
                <c:pt idx="1">
                  <c:v>มี.ค.</c:v>
                </c:pt>
                <c:pt idx="2">
                  <c:v>เม.ย.</c:v>
                </c:pt>
                <c:pt idx="3">
                  <c:v>พ.ค.</c:v>
                </c:pt>
              </c:strCache>
            </c:strRef>
          </c:cat>
          <c:val>
            <c:numRef>
              <c:f>PivotTable!$D$35:$D$39</c:f>
              <c:numCache>
                <c:formatCode>_-* #,##0_-;\-* #,##0_-;_-* "-"??_-;_-@_-</c:formatCode>
                <c:ptCount val="4"/>
                <c:pt idx="0">
                  <c:v>42</c:v>
                </c:pt>
                <c:pt idx="1">
                  <c:v>117</c:v>
                </c:pt>
                <c:pt idx="3">
                  <c:v>39</c:v>
                </c:pt>
              </c:numCache>
            </c:numRef>
          </c:val>
          <c:extLst>
            <c:ext xmlns:c16="http://schemas.microsoft.com/office/drawing/2014/chart" uri="{C3380CC4-5D6E-409C-BE32-E72D297353CC}">
              <c16:uniqueId val="{00000004-FF39-4C8E-B186-0A4DAAA2BDA1}"/>
            </c:ext>
          </c:extLst>
        </c:ser>
        <c:dLbls>
          <c:showLegendKey val="0"/>
          <c:showVal val="0"/>
          <c:showCatName val="0"/>
          <c:showSerName val="0"/>
          <c:showPercent val="0"/>
          <c:showBubbleSize val="0"/>
        </c:dLbls>
        <c:gapWidth val="150"/>
        <c:overlap val="100"/>
        <c:axId val="2039418816"/>
        <c:axId val="2039422176"/>
      </c:barChart>
      <c:catAx>
        <c:axId val="20394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9422176"/>
        <c:crosses val="autoZero"/>
        <c:auto val="1"/>
        <c:lblAlgn val="ctr"/>
        <c:lblOffset val="100"/>
        <c:noMultiLvlLbl val="0"/>
      </c:catAx>
      <c:valAx>
        <c:axId val="20394221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3941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b="1"/>
              <a:t>ยอดขายสิ้นค้าแต่ละเดือน</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PivotTable!$B$50:$B$51</c:f>
              <c:strCache>
                <c:ptCount val="1"/>
                <c:pt idx="0">
                  <c:v>เครื่องสำอาง</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PivotTable!$A$52:$A$53</c:f>
              <c:strCache>
                <c:ptCount val="1"/>
                <c:pt idx="0">
                  <c:v>ก.พ.</c:v>
                </c:pt>
              </c:strCache>
            </c:strRef>
          </c:cat>
          <c:val>
            <c:numRef>
              <c:f>PivotTable!$B$52:$B$53</c:f>
              <c:numCache>
                <c:formatCode>_-* #,##0_-;\-* #,##0_-;_-* "-"??_-;_-@_-</c:formatCode>
                <c:ptCount val="1"/>
                <c:pt idx="0">
                  <c:v>139</c:v>
                </c:pt>
              </c:numCache>
            </c:numRef>
          </c:val>
          <c:extLst>
            <c:ext xmlns:c16="http://schemas.microsoft.com/office/drawing/2014/chart" uri="{C3380CC4-5D6E-409C-BE32-E72D297353CC}">
              <c16:uniqueId val="{00000000-ADE0-41E4-9065-21CA5E3F1397}"/>
            </c:ext>
          </c:extLst>
        </c:ser>
        <c:ser>
          <c:idx val="1"/>
          <c:order val="1"/>
          <c:tx>
            <c:strRef>
              <c:f>PivotTable!$C$50:$C$51</c:f>
              <c:strCache>
                <c:ptCount val="1"/>
                <c:pt idx="0">
                  <c:v>ผลิตภัณฑ์ดูแลผิว</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PivotTable!$A$52:$A$53</c:f>
              <c:strCache>
                <c:ptCount val="1"/>
                <c:pt idx="0">
                  <c:v>ก.พ.</c:v>
                </c:pt>
              </c:strCache>
            </c:strRef>
          </c:cat>
          <c:val>
            <c:numRef>
              <c:f>PivotTable!$C$52:$C$53</c:f>
              <c:numCache>
                <c:formatCode>_-* #,##0_-;\-* #,##0_-;_-* "-"??_-;_-@_-</c:formatCode>
                <c:ptCount val="1"/>
                <c:pt idx="0">
                  <c:v>142</c:v>
                </c:pt>
              </c:numCache>
            </c:numRef>
          </c:val>
          <c:extLst>
            <c:ext xmlns:c16="http://schemas.microsoft.com/office/drawing/2014/chart" uri="{C3380CC4-5D6E-409C-BE32-E72D297353CC}">
              <c16:uniqueId val="{0000000D-CFE7-4A86-AC78-71194D722014}"/>
            </c:ext>
          </c:extLst>
        </c:ser>
        <c:ser>
          <c:idx val="2"/>
          <c:order val="2"/>
          <c:tx>
            <c:strRef>
              <c:f>PivotTable!$D$50:$D$51</c:f>
              <c:strCache>
                <c:ptCount val="1"/>
                <c:pt idx="0">
                  <c:v>เสื้อผ้า</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PivotTable!$A$52:$A$53</c:f>
              <c:strCache>
                <c:ptCount val="1"/>
                <c:pt idx="0">
                  <c:v>ก.พ.</c:v>
                </c:pt>
              </c:strCache>
            </c:strRef>
          </c:cat>
          <c:val>
            <c:numRef>
              <c:f>PivotTable!$D$52:$D$53</c:f>
              <c:numCache>
                <c:formatCode>_-* #,##0_-;\-* #,##0_-;_-* "-"??_-;_-@_-</c:formatCode>
                <c:ptCount val="1"/>
                <c:pt idx="0">
                  <c:v>63</c:v>
                </c:pt>
              </c:numCache>
            </c:numRef>
          </c:val>
          <c:extLst>
            <c:ext xmlns:c16="http://schemas.microsoft.com/office/drawing/2014/chart" uri="{C3380CC4-5D6E-409C-BE32-E72D297353CC}">
              <c16:uniqueId val="{0000000E-CFE7-4A86-AC78-71194D722014}"/>
            </c:ext>
          </c:extLst>
        </c:ser>
        <c:dLbls>
          <c:dLblPos val="outEnd"/>
          <c:showLegendKey val="0"/>
          <c:showVal val="1"/>
          <c:showCatName val="0"/>
          <c:showSerName val="0"/>
          <c:showPercent val="0"/>
          <c:showBubbleSize val="0"/>
        </c:dLbls>
        <c:gapWidth val="219"/>
        <c:overlap val="-27"/>
        <c:axId val="1607548191"/>
        <c:axId val="1607546271"/>
      </c:barChart>
      <c:catAx>
        <c:axId val="16075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07546271"/>
        <c:crosses val="autoZero"/>
        <c:auto val="1"/>
        <c:lblAlgn val="ctr"/>
        <c:lblOffset val="100"/>
        <c:noMultiLvlLbl val="0"/>
      </c:catAx>
      <c:valAx>
        <c:axId val="160754627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07548191"/>
        <c:crosses val="autoZero"/>
        <c:crossBetween val="between"/>
      </c:valAx>
      <c:spPr>
        <a:noFill/>
        <a:ln>
          <a:noFill/>
        </a:ln>
        <a:effectLst/>
      </c:spPr>
    </c:plotArea>
    <c:legend>
      <c:legendPos val="r"/>
      <c:layout>
        <c:manualLayout>
          <c:xMode val="edge"/>
          <c:yMode val="edge"/>
          <c:x val="0.85177006826332979"/>
          <c:y val="0.36990398917598394"/>
          <c:w val="0.13940029570108087"/>
          <c:h val="0.30779563042964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b="1"/>
              <a:t>เปรียบเทียบราคาขายต่อต้นทุน</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PivotTable!$B$67</c:f>
              <c:strCache>
                <c:ptCount val="1"/>
                <c:pt idx="0">
                  <c:v>Sum of รายได้</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PivotTable!$A$68:$A$71</c:f>
              <c:strCache>
                <c:ptCount val="3"/>
                <c:pt idx="0">
                  <c:v>กางเกงยีนส์ #1</c:v>
                </c:pt>
                <c:pt idx="1">
                  <c:v>กางเกงยีนส์ #2</c:v>
                </c:pt>
                <c:pt idx="2">
                  <c:v>กางเกงยีนส์ #3</c:v>
                </c:pt>
              </c:strCache>
            </c:strRef>
          </c:cat>
          <c:val>
            <c:numRef>
              <c:f>PivotTable!$B$68:$B$71</c:f>
              <c:numCache>
                <c:formatCode>_-* #,##0_-;\-* #,##0_-;_-* "-"??_-;_-@_-</c:formatCode>
                <c:ptCount val="3"/>
                <c:pt idx="0">
                  <c:v>63</c:v>
                </c:pt>
                <c:pt idx="1">
                  <c:v>418</c:v>
                </c:pt>
                <c:pt idx="2">
                  <c:v>63</c:v>
                </c:pt>
              </c:numCache>
            </c:numRef>
          </c:val>
          <c:extLst>
            <c:ext xmlns:c16="http://schemas.microsoft.com/office/drawing/2014/chart" uri="{C3380CC4-5D6E-409C-BE32-E72D297353CC}">
              <c16:uniqueId val="{00000000-ADF2-462C-8900-EFBB4250E018}"/>
            </c:ext>
          </c:extLst>
        </c:ser>
        <c:ser>
          <c:idx val="1"/>
          <c:order val="1"/>
          <c:tx>
            <c:strRef>
              <c:f>PivotTable!$C$67</c:f>
              <c:strCache>
                <c:ptCount val="1"/>
                <c:pt idx="0">
                  <c:v>Sum of ต้นทุนรวม</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PivotTable!$A$68:$A$71</c:f>
              <c:strCache>
                <c:ptCount val="3"/>
                <c:pt idx="0">
                  <c:v>กางเกงยีนส์ #1</c:v>
                </c:pt>
                <c:pt idx="1">
                  <c:v>กางเกงยีนส์ #2</c:v>
                </c:pt>
                <c:pt idx="2">
                  <c:v>กางเกงยีนส์ #3</c:v>
                </c:pt>
              </c:strCache>
            </c:strRef>
          </c:cat>
          <c:val>
            <c:numRef>
              <c:f>PivotTable!$C$68:$C$71</c:f>
              <c:numCache>
                <c:formatCode>_-* #,##0_-;\-* #,##0_-;_-* "-"??_-;_-@_-</c:formatCode>
                <c:ptCount val="3"/>
                <c:pt idx="0">
                  <c:v>52.25</c:v>
                </c:pt>
                <c:pt idx="1">
                  <c:v>337.42</c:v>
                </c:pt>
                <c:pt idx="2">
                  <c:v>56.02</c:v>
                </c:pt>
              </c:numCache>
            </c:numRef>
          </c:val>
          <c:extLst>
            <c:ext xmlns:c16="http://schemas.microsoft.com/office/drawing/2014/chart" uri="{C3380CC4-5D6E-409C-BE32-E72D297353CC}">
              <c16:uniqueId val="{00000060-ADF2-462C-8900-EFBB4250E018}"/>
            </c:ext>
          </c:extLst>
        </c:ser>
        <c:dLbls>
          <c:dLblPos val="outEnd"/>
          <c:showLegendKey val="0"/>
          <c:showVal val="1"/>
          <c:showCatName val="0"/>
          <c:showSerName val="0"/>
          <c:showPercent val="0"/>
          <c:showBubbleSize val="0"/>
        </c:dLbls>
        <c:gapWidth val="219"/>
        <c:overlap val="-27"/>
        <c:axId val="33300607"/>
        <c:axId val="33301087"/>
      </c:barChart>
      <c:catAx>
        <c:axId val="333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3301087"/>
        <c:crosses val="autoZero"/>
        <c:auto val="1"/>
        <c:lblAlgn val="ctr"/>
        <c:lblOffset val="100"/>
        <c:noMultiLvlLbl val="0"/>
      </c:catAx>
      <c:valAx>
        <c:axId val="3330108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33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[9Expert Sales Demo-PivotTable.xlsx]PivotTable!PivotTable6</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16131819174264E-2"/>
          <c:y val="0.11746192658461625"/>
          <c:w val="0.72173897271259735"/>
          <c:h val="0.74043489653123395"/>
        </c:manualLayout>
      </c:layout>
      <c:barChart>
        <c:barDir val="col"/>
        <c:grouping val="clustered"/>
        <c:varyColors val="0"/>
        <c:ser>
          <c:idx val="0"/>
          <c:order val="0"/>
          <c:tx>
            <c:strRef>
              <c:f>PivotTable!$B$83:$B$84</c:f>
              <c:strCache>
                <c:ptCount val="1"/>
                <c:pt idx="0">
                  <c:v>เครื่องสำอาง</c:v>
                </c:pt>
              </c:strCache>
            </c:strRef>
          </c:tx>
          <c:spPr>
            <a:solidFill>
              <a:schemeClr val="accent1"/>
            </a:solidFill>
            <a:ln>
              <a:noFill/>
            </a:ln>
            <a:effectLst/>
          </c:spPr>
          <c:invertIfNegative val="0"/>
          <c:cat>
            <c:strRef>
              <c:f>PivotTable!$A$85:$A$87</c:f>
              <c:strCache>
                <c:ptCount val="2"/>
                <c:pt idx="0">
                  <c:v>Dazala</c:v>
                </c:pt>
                <c:pt idx="1">
                  <c:v>TokTok</c:v>
                </c:pt>
              </c:strCache>
            </c:strRef>
          </c:cat>
          <c:val>
            <c:numRef>
              <c:f>PivotTable!$B$85:$B$87</c:f>
              <c:numCache>
                <c:formatCode>_-* #,##0_-;\-* #,##0_-;_-* "-"??_-;_-@_-</c:formatCode>
                <c:ptCount val="2"/>
                <c:pt idx="0">
                  <c:v>169</c:v>
                </c:pt>
                <c:pt idx="1">
                  <c:v>176</c:v>
                </c:pt>
              </c:numCache>
            </c:numRef>
          </c:val>
          <c:extLst>
            <c:ext xmlns:c16="http://schemas.microsoft.com/office/drawing/2014/chart" uri="{C3380CC4-5D6E-409C-BE32-E72D297353CC}">
              <c16:uniqueId val="{00000000-8843-48AB-BAEF-2AE97E2C7FEF}"/>
            </c:ext>
          </c:extLst>
        </c:ser>
        <c:ser>
          <c:idx val="1"/>
          <c:order val="1"/>
          <c:tx>
            <c:strRef>
              <c:f>PivotTable!$C$83:$C$84</c:f>
              <c:strCache>
                <c:ptCount val="1"/>
                <c:pt idx="0">
                  <c:v>น้ำหอม</c:v>
                </c:pt>
              </c:strCache>
            </c:strRef>
          </c:tx>
          <c:spPr>
            <a:solidFill>
              <a:schemeClr val="accent2"/>
            </a:solidFill>
            <a:ln>
              <a:noFill/>
            </a:ln>
            <a:effectLst/>
          </c:spPr>
          <c:invertIfNegative val="0"/>
          <c:cat>
            <c:strRef>
              <c:f>PivotTable!$A$85:$A$87</c:f>
              <c:strCache>
                <c:ptCount val="2"/>
                <c:pt idx="0">
                  <c:v>Dazala</c:v>
                </c:pt>
                <c:pt idx="1">
                  <c:v>TokTok</c:v>
                </c:pt>
              </c:strCache>
            </c:strRef>
          </c:cat>
          <c:val>
            <c:numRef>
              <c:f>PivotTable!$C$85:$C$87</c:f>
              <c:numCache>
                <c:formatCode>_-* #,##0_-;\-* #,##0_-;_-* "-"??_-;_-@_-</c:formatCode>
                <c:ptCount val="2"/>
                <c:pt idx="0">
                  <c:v>148</c:v>
                </c:pt>
              </c:numCache>
            </c:numRef>
          </c:val>
          <c:extLst>
            <c:ext xmlns:c16="http://schemas.microsoft.com/office/drawing/2014/chart" uri="{C3380CC4-5D6E-409C-BE32-E72D297353CC}">
              <c16:uniqueId val="{00000001-8843-48AB-BAEF-2AE97E2C7FEF}"/>
            </c:ext>
          </c:extLst>
        </c:ser>
        <c:ser>
          <c:idx val="2"/>
          <c:order val="2"/>
          <c:tx>
            <c:strRef>
              <c:f>PivotTable!$D$83:$D$84</c:f>
              <c:strCache>
                <c:ptCount val="1"/>
                <c:pt idx="0">
                  <c:v>ผลิตภัณฑ์ดูแลผม</c:v>
                </c:pt>
              </c:strCache>
            </c:strRef>
          </c:tx>
          <c:spPr>
            <a:solidFill>
              <a:schemeClr val="accent3"/>
            </a:solidFill>
            <a:ln>
              <a:noFill/>
            </a:ln>
            <a:effectLst/>
          </c:spPr>
          <c:invertIfNegative val="0"/>
          <c:cat>
            <c:strRef>
              <c:f>PivotTable!$A$85:$A$87</c:f>
              <c:strCache>
                <c:ptCount val="2"/>
                <c:pt idx="0">
                  <c:v>Dazala</c:v>
                </c:pt>
                <c:pt idx="1">
                  <c:v>TokTok</c:v>
                </c:pt>
              </c:strCache>
            </c:strRef>
          </c:cat>
          <c:val>
            <c:numRef>
              <c:f>PivotTable!$D$85:$D$87</c:f>
              <c:numCache>
                <c:formatCode>_-* #,##0_-;\-* #,##0_-;_-* "-"??_-;_-@_-</c:formatCode>
                <c:ptCount val="2"/>
                <c:pt idx="0">
                  <c:v>6</c:v>
                </c:pt>
                <c:pt idx="1">
                  <c:v>88</c:v>
                </c:pt>
              </c:numCache>
            </c:numRef>
          </c:val>
          <c:extLst>
            <c:ext xmlns:c16="http://schemas.microsoft.com/office/drawing/2014/chart" uri="{C3380CC4-5D6E-409C-BE32-E72D297353CC}">
              <c16:uniqueId val="{00000002-8843-48AB-BAEF-2AE97E2C7FEF}"/>
            </c:ext>
          </c:extLst>
        </c:ser>
        <c:ser>
          <c:idx val="3"/>
          <c:order val="3"/>
          <c:tx>
            <c:strRef>
              <c:f>PivotTable!$E$83:$E$84</c:f>
              <c:strCache>
                <c:ptCount val="1"/>
                <c:pt idx="0">
                  <c:v>ผลิตภัณฑ์ดูแลผิว</c:v>
                </c:pt>
              </c:strCache>
            </c:strRef>
          </c:tx>
          <c:spPr>
            <a:solidFill>
              <a:schemeClr val="accent4"/>
            </a:solidFill>
            <a:ln>
              <a:noFill/>
            </a:ln>
            <a:effectLst/>
          </c:spPr>
          <c:invertIfNegative val="0"/>
          <c:cat>
            <c:strRef>
              <c:f>PivotTable!$A$85:$A$87</c:f>
              <c:strCache>
                <c:ptCount val="2"/>
                <c:pt idx="0">
                  <c:v>Dazala</c:v>
                </c:pt>
                <c:pt idx="1">
                  <c:v>TokTok</c:v>
                </c:pt>
              </c:strCache>
            </c:strRef>
          </c:cat>
          <c:val>
            <c:numRef>
              <c:f>PivotTable!$E$85:$E$87</c:f>
              <c:numCache>
                <c:formatCode>_-* #,##0_-;\-* #,##0_-;_-* "-"??_-;_-@_-</c:formatCode>
                <c:ptCount val="2"/>
                <c:pt idx="0">
                  <c:v>132</c:v>
                </c:pt>
                <c:pt idx="1">
                  <c:v>159</c:v>
                </c:pt>
              </c:numCache>
            </c:numRef>
          </c:val>
          <c:extLst>
            <c:ext xmlns:c16="http://schemas.microsoft.com/office/drawing/2014/chart" uri="{C3380CC4-5D6E-409C-BE32-E72D297353CC}">
              <c16:uniqueId val="{00000020-8843-48AB-BAEF-2AE97E2C7FEF}"/>
            </c:ext>
          </c:extLst>
        </c:ser>
        <c:ser>
          <c:idx val="4"/>
          <c:order val="4"/>
          <c:tx>
            <c:strRef>
              <c:f>PivotTable!$F$83:$F$84</c:f>
              <c:strCache>
                <c:ptCount val="1"/>
                <c:pt idx="0">
                  <c:v>รองเท้า</c:v>
                </c:pt>
              </c:strCache>
            </c:strRef>
          </c:tx>
          <c:spPr>
            <a:solidFill>
              <a:schemeClr val="accent5"/>
            </a:solidFill>
            <a:ln>
              <a:noFill/>
            </a:ln>
            <a:effectLst/>
          </c:spPr>
          <c:invertIfNegative val="0"/>
          <c:cat>
            <c:strRef>
              <c:f>PivotTable!$A$85:$A$87</c:f>
              <c:strCache>
                <c:ptCount val="2"/>
                <c:pt idx="0">
                  <c:v>Dazala</c:v>
                </c:pt>
                <c:pt idx="1">
                  <c:v>TokTok</c:v>
                </c:pt>
              </c:strCache>
            </c:strRef>
          </c:cat>
          <c:val>
            <c:numRef>
              <c:f>PivotTable!$F$85:$F$87</c:f>
              <c:numCache>
                <c:formatCode>_-* #,##0_-;\-* #,##0_-;_-* "-"??_-;_-@_-</c:formatCode>
                <c:ptCount val="2"/>
                <c:pt idx="1">
                  <c:v>71</c:v>
                </c:pt>
              </c:numCache>
            </c:numRef>
          </c:val>
          <c:extLst>
            <c:ext xmlns:c16="http://schemas.microsoft.com/office/drawing/2014/chart" uri="{C3380CC4-5D6E-409C-BE32-E72D297353CC}">
              <c16:uniqueId val="{00000021-8843-48AB-BAEF-2AE97E2C7FEF}"/>
            </c:ext>
          </c:extLst>
        </c:ser>
        <c:ser>
          <c:idx val="5"/>
          <c:order val="5"/>
          <c:tx>
            <c:strRef>
              <c:f>PivotTable!$G$83:$G$84</c:f>
              <c:strCache>
                <c:ptCount val="1"/>
                <c:pt idx="0">
                  <c:v>เสื้อผ้า</c:v>
                </c:pt>
              </c:strCache>
            </c:strRef>
          </c:tx>
          <c:spPr>
            <a:solidFill>
              <a:schemeClr val="accent6"/>
            </a:solidFill>
            <a:ln>
              <a:noFill/>
            </a:ln>
            <a:effectLst/>
          </c:spPr>
          <c:invertIfNegative val="0"/>
          <c:cat>
            <c:strRef>
              <c:f>PivotTable!$A$85:$A$87</c:f>
              <c:strCache>
                <c:ptCount val="2"/>
                <c:pt idx="0">
                  <c:v>Dazala</c:v>
                </c:pt>
                <c:pt idx="1">
                  <c:v>TokTok</c:v>
                </c:pt>
              </c:strCache>
            </c:strRef>
          </c:cat>
          <c:val>
            <c:numRef>
              <c:f>PivotTable!$G$85:$G$87</c:f>
              <c:numCache>
                <c:formatCode>_-* #,##0_-;\-* #,##0_-;_-* "-"??_-;_-@_-</c:formatCode>
                <c:ptCount val="2"/>
                <c:pt idx="0">
                  <c:v>39</c:v>
                </c:pt>
                <c:pt idx="1">
                  <c:v>159</c:v>
                </c:pt>
              </c:numCache>
            </c:numRef>
          </c:val>
          <c:extLst>
            <c:ext xmlns:c16="http://schemas.microsoft.com/office/drawing/2014/chart" uri="{C3380CC4-5D6E-409C-BE32-E72D297353CC}">
              <c16:uniqueId val="{00000022-8843-48AB-BAEF-2AE97E2C7FEF}"/>
            </c:ext>
          </c:extLst>
        </c:ser>
        <c:dLbls>
          <c:showLegendKey val="0"/>
          <c:showVal val="0"/>
          <c:showCatName val="0"/>
          <c:showSerName val="0"/>
          <c:showPercent val="0"/>
          <c:showBubbleSize val="0"/>
        </c:dLbls>
        <c:gapWidth val="219"/>
        <c:overlap val="-27"/>
        <c:axId val="2088181872"/>
        <c:axId val="2088198672"/>
      </c:barChart>
      <c:catAx>
        <c:axId val="20881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88198672"/>
        <c:crosses val="autoZero"/>
        <c:auto val="1"/>
        <c:lblAlgn val="ctr"/>
        <c:lblOffset val="100"/>
        <c:noMultiLvlLbl val="0"/>
      </c:catAx>
      <c:valAx>
        <c:axId val="208819867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8818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272918</xdr:colOff>
      <xdr:row>2</xdr:row>
      <xdr:rowOff>30325</xdr:rowOff>
    </xdr:from>
    <xdr:to>
      <xdr:col>11</xdr:col>
      <xdr:colOff>88714</xdr:colOff>
      <xdr:row>10</xdr:row>
      <xdr:rowOff>19438</xdr:rowOff>
    </xdr:to>
    <mc:AlternateContent xmlns:mc="http://schemas.openxmlformats.org/markup-compatibility/2006" xmlns:a14="http://schemas.microsoft.com/office/drawing/2010/main">
      <mc:Choice Requires="a14">
        <xdr:graphicFrame macro="">
          <xdr:nvGraphicFramePr>
            <xdr:cNvPr id="2" name="แพลตฟอร์ม">
              <a:extLst>
                <a:ext uri="{FF2B5EF4-FFF2-40B4-BE49-F238E27FC236}">
                  <a16:creationId xmlns:a16="http://schemas.microsoft.com/office/drawing/2014/main" id="{2551738D-F83A-0D50-8F71-F774669CF052}"/>
                </a:ext>
              </a:extLst>
            </xdr:cNvPr>
            <xdr:cNvGraphicFramePr/>
          </xdr:nvGraphicFramePr>
          <xdr:xfrm>
            <a:off x="0" y="0"/>
            <a:ext cx="0" cy="0"/>
          </xdr:xfrm>
          <a:graphic>
            <a:graphicData uri="http://schemas.microsoft.com/office/drawing/2010/slicer">
              <sle:slicer xmlns:sle="http://schemas.microsoft.com/office/drawing/2010/slicer" name="แพลตฟอร์ม"/>
            </a:graphicData>
          </a:graphic>
        </xdr:graphicFrame>
      </mc:Choice>
      <mc:Fallback xmlns="">
        <xdr:sp macro="" textlink="">
          <xdr:nvSpPr>
            <xdr:cNvPr id="0" name=""/>
            <xdr:cNvSpPr>
              <a:spLocks noTextEdit="1"/>
            </xdr:cNvSpPr>
          </xdr:nvSpPr>
          <xdr:spPr>
            <a:xfrm>
              <a:off x="6666359" y="382960"/>
              <a:ext cx="1831952" cy="1399657"/>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303242</xdr:colOff>
      <xdr:row>1</xdr:row>
      <xdr:rowOff>119423</xdr:rowOff>
    </xdr:from>
    <xdr:to>
      <xdr:col>20</xdr:col>
      <xdr:colOff>0</xdr:colOff>
      <xdr:row>14</xdr:row>
      <xdr:rowOff>163286</xdr:rowOff>
    </xdr:to>
    <xdr:graphicFrame macro="">
      <xdr:nvGraphicFramePr>
        <xdr:cNvPr id="4" name="Chart 3">
          <a:extLst>
            <a:ext uri="{FF2B5EF4-FFF2-40B4-BE49-F238E27FC236}">
              <a16:creationId xmlns:a16="http://schemas.microsoft.com/office/drawing/2014/main" id="{807599C4-746F-63C3-FCCB-326A61357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334346</xdr:colOff>
      <xdr:row>15</xdr:row>
      <xdr:rowOff>95250</xdr:rowOff>
    </xdr:from>
    <xdr:to>
      <xdr:col>20</xdr:col>
      <xdr:colOff>9072</xdr:colOff>
      <xdr:row>31</xdr:row>
      <xdr:rowOff>108857</xdr:rowOff>
    </xdr:to>
    <xdr:graphicFrame macro="">
      <xdr:nvGraphicFramePr>
        <xdr:cNvPr id="6" name="Chart 5">
          <a:extLst>
            <a:ext uri="{FF2B5EF4-FFF2-40B4-BE49-F238E27FC236}">
              <a16:creationId xmlns:a16="http://schemas.microsoft.com/office/drawing/2014/main" id="{2C5A8DBA-8C64-D406-1B5D-605284790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304800</xdr:colOff>
      <xdr:row>16</xdr:row>
      <xdr:rowOff>111967</xdr:rowOff>
    </xdr:from>
    <xdr:to>
      <xdr:col>11</xdr:col>
      <xdr:colOff>127517</xdr:colOff>
      <xdr:row>29</xdr:row>
      <xdr:rowOff>54429</xdr:rowOff>
    </xdr:to>
    <mc:AlternateContent xmlns:mc="http://schemas.openxmlformats.org/markup-compatibility/2006" xmlns:a14="http://schemas.microsoft.com/office/drawing/2010/main">
      <mc:Choice Requires="a14">
        <xdr:graphicFrame macro="">
          <xdr:nvGraphicFramePr>
            <xdr:cNvPr id="7" name="หมวดหมู่สินค้า">
              <a:extLst>
                <a:ext uri="{FF2B5EF4-FFF2-40B4-BE49-F238E27FC236}">
                  <a16:creationId xmlns:a16="http://schemas.microsoft.com/office/drawing/2014/main" id="{69BDC323-6030-B7FE-A9E3-39EA54A1B870}"/>
                </a:ext>
              </a:extLst>
            </xdr:cNvPr>
            <xdr:cNvGraphicFramePr/>
          </xdr:nvGraphicFramePr>
          <xdr:xfrm>
            <a:off x="0" y="0"/>
            <a:ext cx="0" cy="0"/>
          </xdr:xfrm>
          <a:graphic>
            <a:graphicData uri="http://schemas.microsoft.com/office/drawing/2010/slicer">
              <sle:slicer xmlns:sle="http://schemas.microsoft.com/office/drawing/2010/slicer" name="หมวดหมู่สินค้า"/>
            </a:graphicData>
          </a:graphic>
        </xdr:graphicFrame>
      </mc:Choice>
      <mc:Fallback xmlns="">
        <xdr:sp macro="" textlink="">
          <xdr:nvSpPr>
            <xdr:cNvPr id="0" name=""/>
            <xdr:cNvSpPr>
              <a:spLocks noTextEdit="1"/>
            </xdr:cNvSpPr>
          </xdr:nvSpPr>
          <xdr:spPr>
            <a:xfrm>
              <a:off x="6693354" y="2942253"/>
              <a:ext cx="1843377" cy="2242069"/>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343678</xdr:colOff>
      <xdr:row>32</xdr:row>
      <xdr:rowOff>18661</xdr:rowOff>
    </xdr:from>
    <xdr:to>
      <xdr:col>11</xdr:col>
      <xdr:colOff>166395</xdr:colOff>
      <xdr:row>45</xdr:row>
      <xdr:rowOff>23326</xdr:rowOff>
    </xdr:to>
    <mc:AlternateContent xmlns:mc="http://schemas.openxmlformats.org/markup-compatibility/2006" xmlns:a14="http://schemas.microsoft.com/office/drawing/2010/main">
      <mc:Choice Requires="a14">
        <xdr:graphicFrame macro="">
          <xdr:nvGraphicFramePr>
            <xdr:cNvPr id="8" name="หมวดหมู่สินค้า 1">
              <a:extLst>
                <a:ext uri="{FF2B5EF4-FFF2-40B4-BE49-F238E27FC236}">
                  <a16:creationId xmlns:a16="http://schemas.microsoft.com/office/drawing/2014/main" id="{402FC03C-F387-DC4E-21B0-2A9321842ED0}"/>
                </a:ext>
              </a:extLst>
            </xdr:cNvPr>
            <xdr:cNvGraphicFramePr/>
          </xdr:nvGraphicFramePr>
          <xdr:xfrm>
            <a:off x="0" y="0"/>
            <a:ext cx="0" cy="0"/>
          </xdr:xfrm>
          <a:graphic>
            <a:graphicData uri="http://schemas.microsoft.com/office/drawing/2010/slicer">
              <sle:slicer xmlns:sle="http://schemas.microsoft.com/office/drawing/2010/slicer" name="หมวดหมู่สินค้า 1"/>
            </a:graphicData>
          </a:graphic>
        </xdr:graphicFrame>
      </mc:Choice>
      <mc:Fallback xmlns="">
        <xdr:sp macro="" textlink="">
          <xdr:nvSpPr>
            <xdr:cNvPr id="0" name=""/>
            <xdr:cNvSpPr>
              <a:spLocks noTextEdit="1"/>
            </xdr:cNvSpPr>
          </xdr:nvSpPr>
          <xdr:spPr>
            <a:xfrm>
              <a:off x="6737119" y="5660834"/>
              <a:ext cx="1838873" cy="2296798"/>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381968</xdr:colOff>
      <xdr:row>31</xdr:row>
      <xdr:rowOff>164060</xdr:rowOff>
    </xdr:from>
    <xdr:to>
      <xdr:col>20</xdr:col>
      <xdr:colOff>27213</xdr:colOff>
      <xdr:row>47</xdr:row>
      <xdr:rowOff>95250</xdr:rowOff>
    </xdr:to>
    <xdr:graphicFrame macro="">
      <xdr:nvGraphicFramePr>
        <xdr:cNvPr id="9" name="Chart 8">
          <a:extLst>
            <a:ext uri="{FF2B5EF4-FFF2-40B4-BE49-F238E27FC236}">
              <a16:creationId xmlns:a16="http://schemas.microsoft.com/office/drawing/2014/main" id="{48ACE5B4-A9E7-2279-D0B9-802EB969F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405071</xdr:colOff>
      <xdr:row>48</xdr:row>
      <xdr:rowOff>162978</xdr:rowOff>
    </xdr:from>
    <xdr:to>
      <xdr:col>11</xdr:col>
      <xdr:colOff>217715</xdr:colOff>
      <xdr:row>63</xdr:row>
      <xdr:rowOff>164788</xdr:rowOff>
    </xdr:to>
    <mc:AlternateContent xmlns:mc="http://schemas.openxmlformats.org/markup-compatibility/2006" xmlns:a14="http://schemas.microsoft.com/office/drawing/2010/main">
      <mc:Choice Requires="a14">
        <xdr:graphicFrame macro="">
          <xdr:nvGraphicFramePr>
            <xdr:cNvPr id="3" name="Months (วันที่)">
              <a:extLst>
                <a:ext uri="{FF2B5EF4-FFF2-40B4-BE49-F238E27FC236}">
                  <a16:creationId xmlns:a16="http://schemas.microsoft.com/office/drawing/2014/main" id="{065C9AF6-8908-855F-8B27-E9DFC5242AB8}"/>
                </a:ext>
              </a:extLst>
            </xdr:cNvPr>
            <xdr:cNvGraphicFramePr/>
          </xdr:nvGraphicFramePr>
          <xdr:xfrm>
            <a:off x="0" y="0"/>
            <a:ext cx="0" cy="0"/>
          </xdr:xfrm>
          <a:graphic>
            <a:graphicData uri="http://schemas.microsoft.com/office/drawing/2010/slicer">
              <sle:slicer xmlns:sle="http://schemas.microsoft.com/office/drawing/2010/slicer" name="Months (วันที่)"/>
            </a:graphicData>
          </a:graphic>
        </xdr:graphicFrame>
      </mc:Choice>
      <mc:Fallback xmlns="">
        <xdr:sp macro="" textlink="">
          <xdr:nvSpPr>
            <xdr:cNvPr id="0" name=""/>
            <xdr:cNvSpPr>
              <a:spLocks noTextEdit="1"/>
            </xdr:cNvSpPr>
          </xdr:nvSpPr>
          <xdr:spPr>
            <a:xfrm>
              <a:off x="6793625" y="8653836"/>
              <a:ext cx="1833304" cy="2655202"/>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370267</xdr:colOff>
      <xdr:row>48</xdr:row>
      <xdr:rowOff>165432</xdr:rowOff>
    </xdr:from>
    <xdr:to>
      <xdr:col>19</xdr:col>
      <xdr:colOff>879929</xdr:colOff>
      <xdr:row>64</xdr:row>
      <xdr:rowOff>87545</xdr:rowOff>
    </xdr:to>
    <xdr:graphicFrame macro="">
      <xdr:nvGraphicFramePr>
        <xdr:cNvPr id="5" name="Chart 4">
          <a:extLst>
            <a:ext uri="{FF2B5EF4-FFF2-40B4-BE49-F238E27FC236}">
              <a16:creationId xmlns:a16="http://schemas.microsoft.com/office/drawing/2014/main" id="{F60E015B-2193-63FD-724D-2BDAE1DA9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394606</xdr:colOff>
      <xdr:row>65</xdr:row>
      <xdr:rowOff>11790</xdr:rowOff>
    </xdr:from>
    <xdr:to>
      <xdr:col>19</xdr:col>
      <xdr:colOff>333375</xdr:colOff>
      <xdr:row>81</xdr:row>
      <xdr:rowOff>156482</xdr:rowOff>
    </xdr:to>
    <xdr:graphicFrame macro="">
      <xdr:nvGraphicFramePr>
        <xdr:cNvPr id="10" name="Chart 9">
          <a:extLst>
            <a:ext uri="{FF2B5EF4-FFF2-40B4-BE49-F238E27FC236}">
              <a16:creationId xmlns:a16="http://schemas.microsoft.com/office/drawing/2014/main" id="{7180E110-77C7-87E5-9E0F-A1F5AEC4B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239485</xdr:colOff>
      <xdr:row>65</xdr:row>
      <xdr:rowOff>114300</xdr:rowOff>
    </xdr:from>
    <xdr:to>
      <xdr:col>11</xdr:col>
      <xdr:colOff>47625</xdr:colOff>
      <xdr:row>80</xdr:row>
      <xdr:rowOff>107486</xdr:rowOff>
    </xdr:to>
    <mc:AlternateContent xmlns:mc="http://schemas.openxmlformats.org/markup-compatibility/2006" xmlns:a14="http://schemas.microsoft.com/office/drawing/2010/main">
      <mc:Choice Requires="a14">
        <xdr:graphicFrame macro="">
          <xdr:nvGraphicFramePr>
            <xdr:cNvPr id="13" name="ชื่อสินค้า">
              <a:extLst>
                <a:ext uri="{FF2B5EF4-FFF2-40B4-BE49-F238E27FC236}">
                  <a16:creationId xmlns:a16="http://schemas.microsoft.com/office/drawing/2014/main" id="{F74457F7-365B-7B0C-F4DB-4A9CD4D97463}"/>
                </a:ext>
              </a:extLst>
            </xdr:cNvPr>
            <xdr:cNvGraphicFramePr/>
          </xdr:nvGraphicFramePr>
          <xdr:xfrm>
            <a:off x="0" y="0"/>
            <a:ext cx="0" cy="0"/>
          </xdr:xfrm>
          <a:graphic>
            <a:graphicData uri="http://schemas.microsoft.com/office/drawing/2010/slicer">
              <sle:slicer xmlns:sle="http://schemas.microsoft.com/office/drawing/2010/slicer" name="ชื่อสินค้า"/>
            </a:graphicData>
          </a:graphic>
        </xdr:graphicFrame>
      </mc:Choice>
      <mc:Fallback xmlns="">
        <xdr:sp macro="" textlink="">
          <xdr:nvSpPr>
            <xdr:cNvPr id="0" name=""/>
            <xdr:cNvSpPr>
              <a:spLocks noTextEdit="1"/>
            </xdr:cNvSpPr>
          </xdr:nvSpPr>
          <xdr:spPr>
            <a:xfrm>
              <a:off x="6628039" y="11612336"/>
              <a:ext cx="1828800" cy="2646579"/>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377801</xdr:colOff>
      <xdr:row>84</xdr:row>
      <xdr:rowOff>24733</xdr:rowOff>
    </xdr:from>
    <xdr:to>
      <xdr:col>20</xdr:col>
      <xdr:colOff>38421</xdr:colOff>
      <xdr:row>99</xdr:row>
      <xdr:rowOff>110538</xdr:rowOff>
    </xdr:to>
    <xdr:graphicFrame macro="">
      <xdr:nvGraphicFramePr>
        <xdr:cNvPr id="11" name="Chart 10">
          <a:extLst>
            <a:ext uri="{FF2B5EF4-FFF2-40B4-BE49-F238E27FC236}">
              <a16:creationId xmlns:a16="http://schemas.microsoft.com/office/drawing/2014/main" id="{C5FCE88B-E8BE-5023-DB1A-0FD546333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275344</xdr:colOff>
      <xdr:row>83</xdr:row>
      <xdr:rowOff>99253</xdr:rowOff>
    </xdr:from>
    <xdr:to>
      <xdr:col>11</xdr:col>
      <xdr:colOff>87086</xdr:colOff>
      <xdr:row>91</xdr:row>
      <xdr:rowOff>89649</xdr:rowOff>
    </xdr:to>
    <mc:AlternateContent xmlns:mc="http://schemas.openxmlformats.org/markup-compatibility/2006">
      <mc:Choice xmlns:a14="http://schemas.microsoft.com/office/drawing/2010/main" Requires="a14">
        <xdr:graphicFrame macro="">
          <xdr:nvGraphicFramePr>
            <xdr:cNvPr id="12" name="แพลตฟอร์ม 1">
              <a:extLst>
                <a:ext uri="{FF2B5EF4-FFF2-40B4-BE49-F238E27FC236}">
                  <a16:creationId xmlns:a16="http://schemas.microsoft.com/office/drawing/2014/main" id="{61C4B22D-6AFE-E6CF-720D-91A9317A5204}"/>
                </a:ext>
              </a:extLst>
            </xdr:cNvPr>
            <xdr:cNvGraphicFramePr/>
          </xdr:nvGraphicFramePr>
          <xdr:xfrm>
            <a:off x="0" y="0"/>
            <a:ext cx="0" cy="0"/>
          </xdr:xfrm>
          <a:graphic>
            <a:graphicData uri="http://schemas.microsoft.com/office/drawing/2010/slicer">
              <sle:slicer xmlns:sle="http://schemas.microsoft.com/office/drawing/2010/slicer" name="แพลตฟอร์ม 1"/>
            </a:graphicData>
          </a:graphic>
        </xdr:graphicFrame>
      </mc:Choice>
      <mc:Fallback>
        <xdr:sp macro="" textlink="">
          <xdr:nvSpPr>
            <xdr:cNvPr id="0" name=""/>
            <xdr:cNvSpPr>
              <a:spLocks noTextEdit="1"/>
            </xdr:cNvSpPr>
          </xdr:nvSpPr>
          <xdr:spPr>
            <a:xfrm>
              <a:off x="6672302" y="14449186"/>
              <a:ext cx="1828800" cy="1373522"/>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8.938745023152" createdVersion="8" refreshedVersion="8" minRefreshableVersion="3" recordCount="30" xr:uid="{895D6790-4112-42EB-80A9-F5151F4F6164}">
  <cacheSource type="worksheet">
    <worksheetSource name="TData"/>
  </cacheSource>
  <cacheFields count="9">
    <cacheField name="วันที่" numFmtId="187">
      <sharedItems containsSemiMixedTypes="0" containsNonDate="0" containsDate="1" containsString="0" minDate="2024-01-01T00:00:00" maxDate="2024-08-23T00:00:00" count="28">
        <d v="2024-01-01T00:00:00"/>
        <d v="2024-01-05T00:00:00"/>
        <d v="2024-02-10T00:00:00"/>
        <d v="2024-02-14T00:00:00"/>
        <d v="2024-02-27T00:00:00"/>
        <d v="2024-03-03T00:00:00"/>
        <d v="2024-03-06T00:00:00"/>
        <d v="2024-03-14T00:00:00"/>
        <d v="2024-03-15T00:00:00"/>
        <d v="2024-04-08T00:00:00"/>
        <d v="2024-04-12T00:00:00"/>
        <d v="2024-04-14T00:00:00"/>
        <d v="2024-04-19T00:00:00"/>
        <d v="2024-04-20T00:00:00"/>
        <d v="2024-05-03T00:00:00"/>
        <d v="2024-05-08T00:00:00"/>
        <d v="2024-05-15T00:00:00"/>
        <d v="2024-05-24T00:00:00"/>
        <d v="2024-05-25T00:00:00"/>
        <d v="2024-05-27T00:00:00"/>
        <d v="2024-05-31T00:00:00"/>
        <d v="2024-06-08T00:00:00"/>
        <d v="2024-06-17T00:00:00"/>
        <d v="2024-06-18T00:00:00"/>
        <d v="2024-07-01T00:00:00"/>
        <d v="2024-07-26T00:00:00"/>
        <d v="2024-08-18T00:00:00"/>
        <d v="2024-08-22T00:00:00"/>
      </sharedItems>
      <fieldGroup par="8"/>
    </cacheField>
    <cacheField name="ชื่อสินค้า" numFmtId="0">
      <sharedItems count="30">
        <s v="เซรั่มบำรุงผิว #1"/>
        <s v="แชมพู #1"/>
        <s v="เซรั่มบำรุงผิว #2"/>
        <s v="รองพื้น #1"/>
        <s v="กางเกงยีนส์ #1"/>
        <s v="มาสคาร่า #1"/>
        <s v="รองเท้าผ้าใบ #1"/>
        <s v="เสื้อยืด #1"/>
        <s v="น้ำหอม #1"/>
        <s v="ครีมกันแดด #1"/>
        <s v="กางเกงยีนส์ #2"/>
        <s v="รองเท้าผ้าใบ #2"/>
        <s v="รองเท้าผ้าใบ #3"/>
        <s v="น้ำหอม #2"/>
        <s v="เสื้อยืด #2"/>
        <s v="ลิปสติก #4"/>
        <s v="แชมพู #2"/>
        <s v="กางเกงยีนส์ #3"/>
        <s v="แชมพู #3"/>
        <s v="ลิปสติก #5"/>
        <s v="ครีมกันแดด #2"/>
        <s v="รองพื้น #2"/>
        <s v="น้ำหอม #3"/>
        <s v="รองพื้น #3"/>
        <s v="มาสคาร่า #2"/>
        <s v="มาสคาร่า #3"/>
        <s v="เซรั่มบำรุงผิว #3"/>
        <s v="ลิปสติก #6"/>
        <s v="เสื้อยืด #3"/>
        <s v="ครีมกันแดด #3"/>
      </sharedItems>
    </cacheField>
    <cacheField name="หมวดหมู่สินค้า" numFmtId="0">
      <sharedItems count="6">
        <s v="ผลิตภัณฑ์ดูแลผิว"/>
        <s v="ผลิตภัณฑ์ดูแลผม"/>
        <s v="เครื่องสำอาง"/>
        <s v="เสื้อผ้า"/>
        <s v="รองเท้า"/>
        <s v="น้ำหอม"/>
      </sharedItems>
    </cacheField>
    <cacheField name="จำนวน" numFmtId="0">
      <sharedItems containsSemiMixedTypes="0" containsString="0" containsNumber="1" containsInteger="1" minValue="2" maxValue="98" count="26">
        <n v="2"/>
        <n v="6"/>
        <n v="97"/>
        <n v="18"/>
        <n v="42"/>
        <n v="14"/>
        <n v="77"/>
        <n v="41"/>
        <n v="79"/>
        <n v="76"/>
        <n v="13"/>
        <n v="58"/>
        <n v="28"/>
        <n v="98"/>
        <n v="22"/>
        <n v="38"/>
        <n v="39"/>
        <n v="88"/>
        <n v="8"/>
        <n v="45"/>
        <n v="72"/>
        <n v="50"/>
        <n v="40"/>
        <n v="93"/>
        <n v="82"/>
        <n v="62"/>
      </sharedItems>
    </cacheField>
    <cacheField name="ต้นทุนรวม" numFmtId="43">
      <sharedItems containsSemiMixedTypes="0" containsString="0" containsNumber="1" minValue="25.78" maxValue="457.39" count="30">
        <n v="86.51"/>
        <n v="276.20999999999998"/>
        <n v="114.49"/>
        <n v="131.99"/>
        <n v="52.25"/>
        <n v="133.74"/>
        <n v="216.94"/>
        <n v="137.94999999999999"/>
        <n v="457.39"/>
        <n v="308.01"/>
        <n v="337.42"/>
        <n v="421.53"/>
        <n v="351.26"/>
        <n v="414.88"/>
        <n v="348.79"/>
        <n v="269.66000000000003"/>
        <n v="25.78"/>
        <n v="56.02"/>
        <n v="118.94"/>
        <n v="308.39999999999998"/>
        <n v="224.73"/>
        <n v="132.13"/>
        <n v="195.39"/>
        <n v="253.73"/>
        <n v="172"/>
        <n v="344.6"/>
        <n v="281"/>
        <n v="56.66"/>
        <n v="39.659999999999997"/>
        <n v="311.64"/>
      </sharedItems>
    </cacheField>
    <cacheField name="รายได้" numFmtId="43">
      <sharedItems containsSemiMixedTypes="0" containsString="0" containsNumber="1" containsInteger="1" minValue="27" maxValue="576" count="28">
        <n v="106"/>
        <n v="312"/>
        <n v="142"/>
        <n v="139"/>
        <n v="63"/>
        <n v="146"/>
        <n v="245"/>
        <n v="172"/>
        <n v="576"/>
        <n v="348"/>
        <n v="418"/>
        <n v="443"/>
        <n v="376"/>
        <n v="527"/>
        <n v="394"/>
        <n v="337"/>
        <n v="27"/>
        <n v="355"/>
        <n v="252"/>
        <n v="155"/>
        <n v="238"/>
        <n v="269"/>
        <n v="191"/>
        <n v="393"/>
        <n v="303"/>
        <n v="67"/>
        <n v="50"/>
        <n v="396"/>
      </sharedItems>
    </cacheField>
    <cacheField name="แพลตฟอร์ม" numFmtId="0">
      <sharedItems count="3">
        <s v="Dazala"/>
        <s v="TokTok"/>
        <s v="แอปส้ม"/>
      </sharedItems>
    </cacheField>
    <cacheField name="Days (วันที่)" numFmtId="0" databaseField="0">
      <fieldGroup base="0">
        <rangePr groupBy="days" startDate="2024-01-01T00:00:00" endDate="2024-08-23T00:00:00"/>
        <groupItems count="368">
          <s v="&lt;1/1/2024"/>
          <s v="1-ม.ค."/>
          <s v="2-ม.ค."/>
          <s v="3-ม.ค."/>
          <s v="4-ม.ค."/>
          <s v="5-ม.ค."/>
          <s v="6-ม.ค."/>
          <s v="7-ม.ค."/>
          <s v="8-ม.ค."/>
          <s v="9-ม.ค."/>
          <s v="10-ม.ค."/>
          <s v="11-ม.ค."/>
          <s v="12-ม.ค."/>
          <s v="13-ม.ค."/>
          <s v="14-ม.ค."/>
          <s v="15-ม.ค."/>
          <s v="16-ม.ค."/>
          <s v="17-ม.ค."/>
          <s v="18-ม.ค."/>
          <s v="19-ม.ค."/>
          <s v="20-ม.ค."/>
          <s v="21-ม.ค."/>
          <s v="22-ม.ค."/>
          <s v="23-ม.ค."/>
          <s v="24-ม.ค."/>
          <s v="25-ม.ค."/>
          <s v="26-ม.ค."/>
          <s v="27-ม.ค."/>
          <s v="28-ม.ค."/>
          <s v="29-ม.ค."/>
          <s v="30-ม.ค."/>
          <s v="31-ม.ค."/>
          <s v="1-ก.พ."/>
          <s v="2-ก.พ."/>
          <s v="3-ก.พ."/>
          <s v="4-ก.พ."/>
          <s v="5-ก.พ."/>
          <s v="6-ก.พ."/>
          <s v="7-ก.พ."/>
          <s v="8-ก.พ."/>
          <s v="9-ก.พ."/>
          <s v="10-ก.พ."/>
          <s v="11-ก.พ."/>
          <s v="12-ก.พ."/>
          <s v="13-ก.พ."/>
          <s v="14-ก.พ."/>
          <s v="15-ก.พ."/>
          <s v="16-ก.พ."/>
          <s v="17-ก.พ."/>
          <s v="18-ก.พ."/>
          <s v="19-ก.พ."/>
          <s v="20-ก.พ."/>
          <s v="21-ก.พ."/>
          <s v="22-ก.พ."/>
          <s v="23-ก.พ."/>
          <s v="24-ก.พ."/>
          <s v="25-ก.พ."/>
          <s v="26-ก.พ."/>
          <s v="27-ก.พ."/>
          <s v="28-ก.พ."/>
          <s v="29-ก.พ."/>
          <s v="1-มี.ค."/>
          <s v="2-มี.ค."/>
          <s v="3-มี.ค."/>
          <s v="4-มี.ค."/>
          <s v="5-มี.ค."/>
          <s v="6-มี.ค."/>
          <s v="7-มี.ค."/>
          <s v="8-มี.ค."/>
          <s v="9-มี.ค."/>
          <s v="10-มี.ค."/>
          <s v="11-มี.ค."/>
          <s v="12-มี.ค."/>
          <s v="13-มี.ค."/>
          <s v="14-มี.ค."/>
          <s v="15-มี.ค."/>
          <s v="16-มี.ค."/>
          <s v="17-มี.ค."/>
          <s v="18-มี.ค."/>
          <s v="19-มี.ค."/>
          <s v="20-มี.ค."/>
          <s v="21-มี.ค."/>
          <s v="22-มี.ค."/>
          <s v="23-มี.ค."/>
          <s v="24-มี.ค."/>
          <s v="25-มี.ค."/>
          <s v="26-มี.ค."/>
          <s v="27-มี.ค."/>
          <s v="28-มี.ค."/>
          <s v="29-มี.ค."/>
          <s v="30-มี.ค."/>
          <s v="31-มี.ค."/>
          <s v="1-เม.ย."/>
          <s v="2-เม.ย."/>
          <s v="3-เม.ย."/>
          <s v="4-เม.ย."/>
          <s v="5-เม.ย."/>
          <s v="6-เม.ย."/>
          <s v="7-เม.ย."/>
          <s v="8-เม.ย."/>
          <s v="9-เม.ย."/>
          <s v="10-เม.ย."/>
          <s v="11-เม.ย."/>
          <s v="12-เม.ย."/>
          <s v="13-เม.ย."/>
          <s v="14-เม.ย."/>
          <s v="15-เม.ย."/>
          <s v="16-เม.ย."/>
          <s v="17-เม.ย."/>
          <s v="18-เม.ย."/>
          <s v="19-เม.ย."/>
          <s v="20-เม.ย."/>
          <s v="21-เม.ย."/>
          <s v="22-เม.ย."/>
          <s v="23-เม.ย."/>
          <s v="24-เม.ย."/>
          <s v="25-เม.ย."/>
          <s v="26-เม.ย."/>
          <s v="27-เม.ย."/>
          <s v="28-เม.ย."/>
          <s v="29-เม.ย."/>
          <s v="30-เม.ย."/>
          <s v="1-พ.ค."/>
          <s v="2-พ.ค."/>
          <s v="3-พ.ค."/>
          <s v="4-พ.ค."/>
          <s v="5-พ.ค."/>
          <s v="6-พ.ค."/>
          <s v="7-พ.ค."/>
          <s v="8-พ.ค."/>
          <s v="9-พ.ค."/>
          <s v="10-พ.ค."/>
          <s v="11-พ.ค."/>
          <s v="12-พ.ค."/>
          <s v="13-พ.ค."/>
          <s v="14-พ.ค."/>
          <s v="15-พ.ค."/>
          <s v="16-พ.ค."/>
          <s v="17-พ.ค."/>
          <s v="18-พ.ค."/>
          <s v="19-พ.ค."/>
          <s v="20-พ.ค."/>
          <s v="21-พ.ค."/>
          <s v="22-พ.ค."/>
          <s v="23-พ.ค."/>
          <s v="24-พ.ค."/>
          <s v="25-พ.ค."/>
          <s v="26-พ.ค."/>
          <s v="27-พ.ค."/>
          <s v="28-พ.ค."/>
          <s v="29-พ.ค."/>
          <s v="30-พ.ค."/>
          <s v="31-พ.ค."/>
          <s v="1-มิ.ย."/>
          <s v="2-มิ.ย."/>
          <s v="3-มิ.ย."/>
          <s v="4-มิ.ย."/>
          <s v="5-มิ.ย."/>
          <s v="6-มิ.ย."/>
          <s v="7-มิ.ย."/>
          <s v="8-มิ.ย."/>
          <s v="9-มิ.ย."/>
          <s v="10-มิ.ย."/>
          <s v="11-มิ.ย."/>
          <s v="12-มิ.ย."/>
          <s v="13-มิ.ย."/>
          <s v="14-มิ.ย."/>
          <s v="15-มิ.ย."/>
          <s v="16-มิ.ย."/>
          <s v="17-มิ.ย."/>
          <s v="18-มิ.ย."/>
          <s v="19-มิ.ย."/>
          <s v="20-มิ.ย."/>
          <s v="21-มิ.ย."/>
          <s v="22-มิ.ย."/>
          <s v="23-มิ.ย."/>
          <s v="24-มิ.ย."/>
          <s v="25-มิ.ย."/>
          <s v="26-มิ.ย."/>
          <s v="27-มิ.ย."/>
          <s v="28-มิ.ย."/>
          <s v="29-มิ.ย."/>
          <s v="30-มิ.ย."/>
          <s v="1-ก.ค."/>
          <s v="2-ก.ค."/>
          <s v="3-ก.ค."/>
          <s v="4-ก.ค."/>
          <s v="5-ก.ค."/>
          <s v="6-ก.ค."/>
          <s v="7-ก.ค."/>
          <s v="8-ก.ค."/>
          <s v="9-ก.ค."/>
          <s v="10-ก.ค."/>
          <s v="11-ก.ค."/>
          <s v="12-ก.ค."/>
          <s v="13-ก.ค."/>
          <s v="14-ก.ค."/>
          <s v="15-ก.ค."/>
          <s v="16-ก.ค."/>
          <s v="17-ก.ค."/>
          <s v="18-ก.ค."/>
          <s v="19-ก.ค."/>
          <s v="20-ก.ค."/>
          <s v="21-ก.ค."/>
          <s v="22-ก.ค."/>
          <s v="23-ก.ค."/>
          <s v="24-ก.ค."/>
          <s v="25-ก.ค."/>
          <s v="26-ก.ค."/>
          <s v="27-ก.ค."/>
          <s v="28-ก.ค."/>
          <s v="29-ก.ค."/>
          <s v="30-ก.ค."/>
          <s v="31-ก.ค."/>
          <s v="1-ส.ค."/>
          <s v="2-ส.ค."/>
          <s v="3-ส.ค."/>
          <s v="4-ส.ค."/>
          <s v="5-ส.ค."/>
          <s v="6-ส.ค."/>
          <s v="7-ส.ค."/>
          <s v="8-ส.ค."/>
          <s v="9-ส.ค."/>
          <s v="10-ส.ค."/>
          <s v="11-ส.ค."/>
          <s v="12-ส.ค."/>
          <s v="13-ส.ค."/>
          <s v="14-ส.ค."/>
          <s v="15-ส.ค."/>
          <s v="16-ส.ค."/>
          <s v="17-ส.ค."/>
          <s v="18-ส.ค."/>
          <s v="19-ส.ค."/>
          <s v="20-ส.ค."/>
          <s v="21-ส.ค."/>
          <s v="22-ส.ค."/>
          <s v="23-ส.ค."/>
          <s v="24-ส.ค."/>
          <s v="25-ส.ค."/>
          <s v="26-ส.ค."/>
          <s v="27-ส.ค."/>
          <s v="28-ส.ค."/>
          <s v="29-ส.ค."/>
          <s v="30-ส.ค."/>
          <s v="31-ส.ค."/>
          <s v="1-ก.ย."/>
          <s v="2-ก.ย."/>
          <s v="3-ก.ย."/>
          <s v="4-ก.ย."/>
          <s v="5-ก.ย."/>
          <s v="6-ก.ย."/>
          <s v="7-ก.ย."/>
          <s v="8-ก.ย."/>
          <s v="9-ก.ย."/>
          <s v="10-ก.ย."/>
          <s v="11-ก.ย."/>
          <s v="12-ก.ย."/>
          <s v="13-ก.ย."/>
          <s v="14-ก.ย."/>
          <s v="15-ก.ย."/>
          <s v="16-ก.ย."/>
          <s v="17-ก.ย."/>
          <s v="18-ก.ย."/>
          <s v="19-ก.ย."/>
          <s v="20-ก.ย."/>
          <s v="21-ก.ย."/>
          <s v="22-ก.ย."/>
          <s v="23-ก.ย."/>
          <s v="24-ก.ย."/>
          <s v="25-ก.ย."/>
          <s v="26-ก.ย."/>
          <s v="27-ก.ย."/>
          <s v="28-ก.ย."/>
          <s v="29-ก.ย."/>
          <s v="30-ก.ย."/>
          <s v="1-ต.ค."/>
          <s v="2-ต.ค."/>
          <s v="3-ต.ค."/>
          <s v="4-ต.ค."/>
          <s v="5-ต.ค."/>
          <s v="6-ต.ค."/>
          <s v="7-ต.ค."/>
          <s v="8-ต.ค."/>
          <s v="9-ต.ค."/>
          <s v="10-ต.ค."/>
          <s v="11-ต.ค."/>
          <s v="12-ต.ค."/>
          <s v="13-ต.ค."/>
          <s v="14-ต.ค."/>
          <s v="15-ต.ค."/>
          <s v="16-ต.ค."/>
          <s v="17-ต.ค."/>
          <s v="18-ต.ค."/>
          <s v="19-ต.ค."/>
          <s v="20-ต.ค."/>
          <s v="21-ต.ค."/>
          <s v="22-ต.ค."/>
          <s v="23-ต.ค."/>
          <s v="24-ต.ค."/>
          <s v="25-ต.ค."/>
          <s v="26-ต.ค."/>
          <s v="27-ต.ค."/>
          <s v="28-ต.ค."/>
          <s v="29-ต.ค."/>
          <s v="30-ต.ค."/>
          <s v="31-ต.ค."/>
          <s v="1-พ.ย."/>
          <s v="2-พ.ย."/>
          <s v="3-พ.ย."/>
          <s v="4-พ.ย."/>
          <s v="5-พ.ย."/>
          <s v="6-พ.ย."/>
          <s v="7-พ.ย."/>
          <s v="8-พ.ย."/>
          <s v="9-พ.ย."/>
          <s v="10-พ.ย."/>
          <s v="11-พ.ย."/>
          <s v="12-พ.ย."/>
          <s v="13-พ.ย."/>
          <s v="14-พ.ย."/>
          <s v="15-พ.ย."/>
          <s v="16-พ.ย."/>
          <s v="17-พ.ย."/>
          <s v="18-พ.ย."/>
          <s v="19-พ.ย."/>
          <s v="20-พ.ย."/>
          <s v="21-พ.ย."/>
          <s v="22-พ.ย."/>
          <s v="23-พ.ย."/>
          <s v="24-พ.ย."/>
          <s v="25-พ.ย."/>
          <s v="26-พ.ย."/>
          <s v="27-พ.ย."/>
          <s v="28-พ.ย."/>
          <s v="29-พ.ย."/>
          <s v="30-พ.ย."/>
          <s v="1-ธ.ค."/>
          <s v="2-ธ.ค."/>
          <s v="3-ธ.ค."/>
          <s v="4-ธ.ค."/>
          <s v="5-ธ.ค."/>
          <s v="6-ธ.ค."/>
          <s v="7-ธ.ค."/>
          <s v="8-ธ.ค."/>
          <s v="9-ธ.ค."/>
          <s v="10-ธ.ค."/>
          <s v="11-ธ.ค."/>
          <s v="12-ธ.ค."/>
          <s v="13-ธ.ค."/>
          <s v="14-ธ.ค."/>
          <s v="15-ธ.ค."/>
          <s v="16-ธ.ค."/>
          <s v="17-ธ.ค."/>
          <s v="18-ธ.ค."/>
          <s v="19-ธ.ค."/>
          <s v="20-ธ.ค."/>
          <s v="21-ธ.ค."/>
          <s v="22-ธ.ค."/>
          <s v="23-ธ.ค."/>
          <s v="24-ธ.ค."/>
          <s v="25-ธ.ค."/>
          <s v="26-ธ.ค."/>
          <s v="27-ธ.ค."/>
          <s v="28-ธ.ค."/>
          <s v="29-ธ.ค."/>
          <s v="30-ธ.ค."/>
          <s v="31-ธ.ค."/>
          <s v="&gt;23/8/2024"/>
        </groupItems>
      </fieldGroup>
    </cacheField>
    <cacheField name="Months (วันที่)" numFmtId="0" databaseField="0">
      <fieldGroup base="0">
        <rangePr groupBy="months" startDate="2024-01-01T00:00:00" endDate="2024-08-23T00:00:00"/>
        <groupItems count="14">
          <s v="&lt;1/1/2024"/>
          <s v="ม.ค."/>
          <s v="ก.พ."/>
          <s v="มี.ค."/>
          <s v="เม.ย."/>
          <s v="พ.ค."/>
          <s v="มิ.ย."/>
          <s v="ก.ค."/>
          <s v="ส.ค."/>
          <s v="ก.ย."/>
          <s v="ต.ค."/>
          <s v="พ.ย."/>
          <s v="ธ.ค."/>
          <s v="&gt;23/8/2024"/>
        </groupItems>
      </fieldGroup>
    </cacheField>
  </cacheFields>
  <extLst>
    <ext xmlns:x14="http://schemas.microsoft.com/office/spreadsheetml/2009/9/main" uri="{725AE2AE-9491-48be-B2B4-4EB974FC3084}">
      <x14:pivotCacheDefinition pivotCacheId="1746780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r>
  <r>
    <x v="1"/>
    <x v="1"/>
    <x v="1"/>
    <x v="1"/>
    <x v="1"/>
    <x v="1"/>
    <x v="0"/>
  </r>
  <r>
    <x v="2"/>
    <x v="2"/>
    <x v="0"/>
    <x v="2"/>
    <x v="2"/>
    <x v="2"/>
    <x v="1"/>
  </r>
  <r>
    <x v="3"/>
    <x v="3"/>
    <x v="2"/>
    <x v="3"/>
    <x v="3"/>
    <x v="3"/>
    <x v="1"/>
  </r>
  <r>
    <x v="4"/>
    <x v="4"/>
    <x v="3"/>
    <x v="4"/>
    <x v="4"/>
    <x v="4"/>
    <x v="1"/>
  </r>
  <r>
    <x v="5"/>
    <x v="5"/>
    <x v="2"/>
    <x v="5"/>
    <x v="5"/>
    <x v="5"/>
    <x v="1"/>
  </r>
  <r>
    <x v="5"/>
    <x v="6"/>
    <x v="4"/>
    <x v="6"/>
    <x v="6"/>
    <x v="6"/>
    <x v="2"/>
  </r>
  <r>
    <x v="6"/>
    <x v="7"/>
    <x v="3"/>
    <x v="7"/>
    <x v="7"/>
    <x v="7"/>
    <x v="1"/>
  </r>
  <r>
    <x v="7"/>
    <x v="8"/>
    <x v="5"/>
    <x v="8"/>
    <x v="8"/>
    <x v="8"/>
    <x v="0"/>
  </r>
  <r>
    <x v="7"/>
    <x v="9"/>
    <x v="0"/>
    <x v="1"/>
    <x v="9"/>
    <x v="9"/>
    <x v="0"/>
  </r>
  <r>
    <x v="8"/>
    <x v="10"/>
    <x v="3"/>
    <x v="9"/>
    <x v="10"/>
    <x v="10"/>
    <x v="1"/>
  </r>
  <r>
    <x v="9"/>
    <x v="11"/>
    <x v="4"/>
    <x v="10"/>
    <x v="11"/>
    <x v="11"/>
    <x v="1"/>
  </r>
  <r>
    <x v="10"/>
    <x v="12"/>
    <x v="4"/>
    <x v="11"/>
    <x v="12"/>
    <x v="12"/>
    <x v="1"/>
  </r>
  <r>
    <x v="11"/>
    <x v="13"/>
    <x v="5"/>
    <x v="12"/>
    <x v="13"/>
    <x v="13"/>
    <x v="0"/>
  </r>
  <r>
    <x v="12"/>
    <x v="14"/>
    <x v="3"/>
    <x v="13"/>
    <x v="14"/>
    <x v="14"/>
    <x v="2"/>
  </r>
  <r>
    <x v="13"/>
    <x v="15"/>
    <x v="2"/>
    <x v="14"/>
    <x v="15"/>
    <x v="15"/>
    <x v="1"/>
  </r>
  <r>
    <x v="14"/>
    <x v="16"/>
    <x v="1"/>
    <x v="15"/>
    <x v="16"/>
    <x v="16"/>
    <x v="2"/>
  </r>
  <r>
    <x v="15"/>
    <x v="17"/>
    <x v="3"/>
    <x v="16"/>
    <x v="17"/>
    <x v="4"/>
    <x v="0"/>
  </r>
  <r>
    <x v="16"/>
    <x v="18"/>
    <x v="1"/>
    <x v="17"/>
    <x v="18"/>
    <x v="2"/>
    <x v="1"/>
  </r>
  <r>
    <x v="17"/>
    <x v="19"/>
    <x v="2"/>
    <x v="18"/>
    <x v="19"/>
    <x v="17"/>
    <x v="0"/>
  </r>
  <r>
    <x v="18"/>
    <x v="20"/>
    <x v="0"/>
    <x v="19"/>
    <x v="20"/>
    <x v="18"/>
    <x v="0"/>
  </r>
  <r>
    <x v="19"/>
    <x v="21"/>
    <x v="2"/>
    <x v="20"/>
    <x v="21"/>
    <x v="19"/>
    <x v="1"/>
  </r>
  <r>
    <x v="20"/>
    <x v="22"/>
    <x v="5"/>
    <x v="7"/>
    <x v="22"/>
    <x v="20"/>
    <x v="0"/>
  </r>
  <r>
    <x v="21"/>
    <x v="23"/>
    <x v="2"/>
    <x v="21"/>
    <x v="23"/>
    <x v="21"/>
    <x v="1"/>
  </r>
  <r>
    <x v="22"/>
    <x v="24"/>
    <x v="2"/>
    <x v="12"/>
    <x v="24"/>
    <x v="22"/>
    <x v="0"/>
  </r>
  <r>
    <x v="23"/>
    <x v="25"/>
    <x v="2"/>
    <x v="22"/>
    <x v="25"/>
    <x v="23"/>
    <x v="0"/>
  </r>
  <r>
    <x v="24"/>
    <x v="26"/>
    <x v="0"/>
    <x v="8"/>
    <x v="26"/>
    <x v="24"/>
    <x v="0"/>
  </r>
  <r>
    <x v="25"/>
    <x v="27"/>
    <x v="2"/>
    <x v="23"/>
    <x v="27"/>
    <x v="25"/>
    <x v="0"/>
  </r>
  <r>
    <x v="26"/>
    <x v="28"/>
    <x v="3"/>
    <x v="24"/>
    <x v="28"/>
    <x v="26"/>
    <x v="2"/>
  </r>
  <r>
    <x v="27"/>
    <x v="29"/>
    <x v="0"/>
    <x v="25"/>
    <x v="29"/>
    <x v="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E3FED8-E7EB-402F-9806-26DB51F4BAF8}"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7:C71" firstHeaderRow="0" firstDataRow="1"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31">
        <item x="4"/>
        <item x="10"/>
        <item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showAll="0">
      <items count="7">
        <item h="1" x="2"/>
        <item h="1" x="5"/>
        <item h="1" x="1"/>
        <item h="1" x="0"/>
        <item h="1" x="4"/>
        <item x="3"/>
        <item t="default"/>
      </items>
    </pivotField>
    <pivotField showAll="0">
      <items count="27">
        <item x="0"/>
        <item x="1"/>
        <item x="18"/>
        <item x="10"/>
        <item x="5"/>
        <item x="3"/>
        <item x="14"/>
        <item x="12"/>
        <item x="15"/>
        <item x="16"/>
        <item x="22"/>
        <item x="7"/>
        <item x="4"/>
        <item x="19"/>
        <item x="21"/>
        <item x="11"/>
        <item x="25"/>
        <item x="20"/>
        <item x="9"/>
        <item x="6"/>
        <item x="8"/>
        <item x="24"/>
        <item x="17"/>
        <item x="23"/>
        <item x="2"/>
        <item x="13"/>
        <item t="default"/>
      </items>
    </pivotField>
    <pivotField dataField="1" numFmtId="43" showAll="0">
      <items count="31">
        <item x="16"/>
        <item x="28"/>
        <item x="4"/>
        <item x="17"/>
        <item x="27"/>
        <item x="0"/>
        <item x="2"/>
        <item x="18"/>
        <item x="3"/>
        <item x="21"/>
        <item x="5"/>
        <item x="7"/>
        <item x="24"/>
        <item x="22"/>
        <item x="6"/>
        <item x="20"/>
        <item x="23"/>
        <item x="15"/>
        <item x="1"/>
        <item x="26"/>
        <item x="9"/>
        <item x="19"/>
        <item x="29"/>
        <item x="10"/>
        <item x="25"/>
        <item x="14"/>
        <item x="12"/>
        <item x="13"/>
        <item x="11"/>
        <item x="8"/>
        <item t="default"/>
      </items>
    </pivotField>
    <pivotField dataField="1" numFmtId="43" showAll="0">
      <items count="29">
        <item x="16"/>
        <item x="26"/>
        <item x="4"/>
        <item x="25"/>
        <item x="0"/>
        <item x="3"/>
        <item x="2"/>
        <item x="5"/>
        <item x="19"/>
        <item x="7"/>
        <item x="22"/>
        <item x="20"/>
        <item x="6"/>
        <item x="18"/>
        <item x="21"/>
        <item x="24"/>
        <item x="1"/>
        <item x="15"/>
        <item x="9"/>
        <item x="17"/>
        <item x="12"/>
        <item x="23"/>
        <item x="14"/>
        <item x="27"/>
        <item x="10"/>
        <item x="11"/>
        <item x="13"/>
        <item x="8"/>
        <item t="default"/>
      </items>
    </pivotField>
    <pivotField showAll="0">
      <items count="4">
        <item x="0"/>
        <item x="1"/>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
  </rowFields>
  <rowItems count="4">
    <i>
      <x/>
    </i>
    <i>
      <x v="1"/>
    </i>
    <i>
      <x v="2"/>
    </i>
    <i t="grand">
      <x/>
    </i>
  </rowItems>
  <colFields count="1">
    <field x="-2"/>
  </colFields>
  <colItems count="2">
    <i>
      <x/>
    </i>
    <i i="1">
      <x v="1"/>
    </i>
  </colItems>
  <dataFields count="2">
    <dataField name="Sum of รายได้" fld="5" baseField="0" baseItem="0" numFmtId="43"/>
    <dataField name="Sum of ต้นทุนรวม" fld="4" baseField="0" baseItem="0" numFmtId="43"/>
  </dataFields>
  <formats count="1">
    <format dxfId="12">
      <pivotArea outline="0" collapsedLevelsAreSubtotals="1" fieldPosition="0"/>
    </format>
  </formats>
  <chartFormats count="2">
    <chartFormat chart="23" format="210" series="1">
      <pivotArea type="data" outline="0" fieldPosition="0">
        <references count="1">
          <reference field="4294967294" count="1" selected="0">
            <x v="0"/>
          </reference>
        </references>
      </pivotArea>
    </chartFormat>
    <chartFormat chart="23" format="218" series="1">
      <pivotArea type="data" outline="0" fieldPosition="0">
        <references count="1">
          <reference field="4294967294"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096E9-BB54-410D-A792-AA8FB8859C59}"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A50:E53" firstHeaderRow="1" firstDataRow="2"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1">
        <item x="4"/>
        <item h="1" x="10"/>
        <item h="1"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axis="axisCol" showAll="0">
      <items count="7">
        <item x="2"/>
        <item x="5"/>
        <item x="1"/>
        <item x="0"/>
        <item x="4"/>
        <item x="3"/>
        <item t="default"/>
      </items>
    </pivotField>
    <pivotField showAll="0"/>
    <pivotField numFmtId="43" showAll="0"/>
    <pivotField dataField="1" numFmtId="43" showAll="0"/>
    <pivotField showAll="0">
      <items count="4">
        <item x="0"/>
        <item x="1"/>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sd="0" x="0"/>
        <item h="1" sd="0" x="1"/>
        <item sd="0" x="2"/>
        <item h="1" sd="0" x="3"/>
        <item h="1" sd="0" x="4"/>
        <item h="1" sd="0" x="5"/>
        <item h="1" sd="0" x="6"/>
        <item h="1" sd="0" x="7"/>
        <item h="1" sd="0" x="8"/>
        <item h="1" sd="0" x="9"/>
        <item h="1" sd="0" x="10"/>
        <item h="1" sd="0" x="11"/>
        <item h="1" sd="0" x="12"/>
        <item h="1" sd="0" x="13"/>
        <item t="default" sd="0"/>
      </items>
    </pivotField>
  </pivotFields>
  <rowFields count="1">
    <field x="8"/>
  </rowFields>
  <rowItems count="2">
    <i>
      <x v="2"/>
    </i>
    <i t="grand">
      <x/>
    </i>
  </rowItems>
  <colFields count="1">
    <field x="2"/>
  </colFields>
  <colItems count="4">
    <i>
      <x/>
    </i>
    <i>
      <x v="3"/>
    </i>
    <i>
      <x v="5"/>
    </i>
    <i t="grand">
      <x/>
    </i>
  </colItems>
  <dataFields count="1">
    <dataField name="Sum of รายได้" fld="5" baseField="0" baseItem="0" numFmtId="188"/>
  </dataFields>
  <formats count="1">
    <format dxfId="13">
      <pivotArea outline="0" collapsedLevelsAreSubtotals="1" fieldPosition="0"/>
    </format>
  </formats>
  <chartFormats count="27">
    <chartFormat chart="16" format="0" series="1">
      <pivotArea type="data" outline="0" fieldPosition="0">
        <references count="2">
          <reference field="4294967294" count="1" selected="0">
            <x v="0"/>
          </reference>
          <reference field="8" count="1" selected="0">
            <x v="1"/>
          </reference>
        </references>
      </pivotArea>
    </chartFormat>
    <chartFormat chart="16" format="1" series="1">
      <pivotArea type="data" outline="0" fieldPosition="0">
        <references count="2">
          <reference field="4294967294" count="1" selected="0">
            <x v="0"/>
          </reference>
          <reference field="8" count="1" selected="0">
            <x v="2"/>
          </reference>
        </references>
      </pivotArea>
    </chartFormat>
    <chartFormat chart="16" format="2" series="1">
      <pivotArea type="data" outline="0" fieldPosition="0">
        <references count="2">
          <reference field="4294967294" count="1" selected="0">
            <x v="0"/>
          </reference>
          <reference field="8" count="1" selected="0">
            <x v="3"/>
          </reference>
        </references>
      </pivotArea>
    </chartFormat>
    <chartFormat chart="16" format="3" series="1">
      <pivotArea type="data" outline="0" fieldPosition="0">
        <references count="2">
          <reference field="4294967294" count="1" selected="0">
            <x v="0"/>
          </reference>
          <reference field="8" count="1" selected="0">
            <x v="4"/>
          </reference>
        </references>
      </pivotArea>
    </chartFormat>
    <chartFormat chart="16" format="4" series="1">
      <pivotArea type="data" outline="0" fieldPosition="0">
        <references count="2">
          <reference field="4294967294" count="1" selected="0">
            <x v="0"/>
          </reference>
          <reference field="8" count="1" selected="0">
            <x v="5"/>
          </reference>
        </references>
      </pivotArea>
    </chartFormat>
    <chartFormat chart="16" format="5" series="1">
      <pivotArea type="data" outline="0" fieldPosition="0">
        <references count="2">
          <reference field="4294967294" count="1" selected="0">
            <x v="0"/>
          </reference>
          <reference field="8" count="1" selected="0">
            <x v="6"/>
          </reference>
        </references>
      </pivotArea>
    </chartFormat>
    <chartFormat chart="16" format="6" series="1">
      <pivotArea type="data" outline="0" fieldPosition="0">
        <references count="2">
          <reference field="4294967294" count="1" selected="0">
            <x v="0"/>
          </reference>
          <reference field="8" count="1" selected="0">
            <x v="7"/>
          </reference>
        </references>
      </pivotArea>
    </chartFormat>
    <chartFormat chart="16" format="7" series="1">
      <pivotArea type="data" outline="0" fieldPosition="0">
        <references count="2">
          <reference field="4294967294" count="1" selected="0">
            <x v="0"/>
          </reference>
          <reference field="8" count="1" selected="0">
            <x v="8"/>
          </reference>
        </references>
      </pivotArea>
    </chartFormat>
    <chartFormat chart="16" format="8" series="1">
      <pivotArea type="data" outline="0" fieldPosition="0">
        <references count="2">
          <reference field="4294967294" count="1" selected="0">
            <x v="0"/>
          </reference>
          <reference field="2" count="1" selected="0">
            <x v="0"/>
          </reference>
        </references>
      </pivotArea>
    </chartFormat>
    <chartFormat chart="16" format="9" series="1">
      <pivotArea type="data" outline="0" fieldPosition="0">
        <references count="2">
          <reference field="4294967294" count="1" selected="0">
            <x v="0"/>
          </reference>
          <reference field="2" count="1" selected="0">
            <x v="2"/>
          </reference>
        </references>
      </pivotArea>
    </chartFormat>
    <chartFormat chart="16" format="10" series="1">
      <pivotArea type="data" outline="0" fieldPosition="0">
        <references count="2">
          <reference field="4294967294" count="1" selected="0">
            <x v="0"/>
          </reference>
          <reference field="2" count="1" selected="0">
            <x v="3"/>
          </reference>
        </references>
      </pivotArea>
    </chartFormat>
    <chartFormat chart="16" format="11" series="1">
      <pivotArea type="data" outline="0" fieldPosition="0">
        <references count="2">
          <reference field="4294967294" count="1" selected="0">
            <x v="0"/>
          </reference>
          <reference field="2" count="1" selected="0">
            <x v="4"/>
          </reference>
        </references>
      </pivotArea>
    </chartFormat>
    <chartFormat chart="16" format="12" series="1">
      <pivotArea type="data" outline="0" fieldPosition="0">
        <references count="2">
          <reference field="4294967294" count="1" selected="0">
            <x v="0"/>
          </reference>
          <reference field="2" count="1" selected="0">
            <x v="5"/>
          </reference>
        </references>
      </pivotArea>
    </chartFormat>
    <chartFormat chart="16" format="13" series="1">
      <pivotArea type="data" outline="0" fieldPosition="0">
        <references count="3">
          <reference field="4294967294" count="1" selected="0">
            <x v="0"/>
          </reference>
          <reference field="2" count="1" selected="0">
            <x v="2"/>
          </reference>
          <reference field="8" count="1" selected="0">
            <x v="5"/>
          </reference>
        </references>
      </pivotArea>
    </chartFormat>
    <chartFormat chart="16" format="14" series="1">
      <pivotArea type="data" outline="0" fieldPosition="0">
        <references count="3">
          <reference field="4294967294" count="1" selected="0">
            <x v="0"/>
          </reference>
          <reference field="2" count="1" selected="0">
            <x v="3"/>
          </reference>
          <reference field="8" count="1" selected="0">
            <x v="2"/>
          </reference>
        </references>
      </pivotArea>
    </chartFormat>
    <chartFormat chart="16" format="15" series="1">
      <pivotArea type="data" outline="0" fieldPosition="0">
        <references count="3">
          <reference field="4294967294" count="1" selected="0">
            <x v="0"/>
          </reference>
          <reference field="2" count="1" selected="0">
            <x v="3"/>
          </reference>
          <reference field="8" count="1" selected="0">
            <x v="8"/>
          </reference>
        </references>
      </pivotArea>
    </chartFormat>
    <chartFormat chart="16" format="16" series="1">
      <pivotArea type="data" outline="0" fieldPosition="0">
        <references count="3">
          <reference field="4294967294" count="1" selected="0">
            <x v="0"/>
          </reference>
          <reference field="2" count="1" selected="0">
            <x v="4"/>
          </reference>
          <reference field="8" count="1" selected="0">
            <x v="4"/>
          </reference>
        </references>
      </pivotArea>
    </chartFormat>
    <chartFormat chart="16" format="17" series="1">
      <pivotArea type="data" outline="0" fieldPosition="0">
        <references count="3">
          <reference field="4294967294" count="1" selected="0">
            <x v="0"/>
          </reference>
          <reference field="2" count="1" selected="0">
            <x v="5"/>
          </reference>
          <reference field="8" count="1" selected="0">
            <x v="2"/>
          </reference>
        </references>
      </pivotArea>
    </chartFormat>
    <chartFormat chart="16" format="18" series="1">
      <pivotArea type="data" outline="0" fieldPosition="0">
        <references count="3">
          <reference field="4294967294" count="1" selected="0">
            <x v="0"/>
          </reference>
          <reference field="2" count="1" selected="0">
            <x v="5"/>
          </reference>
          <reference field="8" count="1" selected="0">
            <x v="3"/>
          </reference>
        </references>
      </pivotArea>
    </chartFormat>
    <chartFormat chart="16" format="19" series="1">
      <pivotArea type="data" outline="0" fieldPosition="0">
        <references count="2">
          <reference field="4294967294" count="1" selected="0">
            <x v="0"/>
          </reference>
          <reference field="2" count="1" selected="0">
            <x v="1"/>
          </reference>
        </references>
      </pivotArea>
    </chartFormat>
    <chartFormat chart="24" format="0" series="1">
      <pivotArea type="data" outline="0" fieldPosition="0">
        <references count="2">
          <reference field="4294967294" count="1" selected="0">
            <x v="0"/>
          </reference>
          <reference field="2"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4" format="4" series="1">
      <pivotArea type="data" outline="0" fieldPosition="0">
        <references count="2">
          <reference field="4294967294" count="1" selected="0">
            <x v="0"/>
          </reference>
          <reference field="2" count="1" selected="0">
            <x v="4"/>
          </reference>
        </references>
      </pivotArea>
    </chartFormat>
    <chartFormat chart="24" format="5" series="1">
      <pivotArea type="data" outline="0" fieldPosition="0">
        <references count="2">
          <reference field="4294967294" count="1" selected="0">
            <x v="0"/>
          </reference>
          <reference field="2" count="1" selected="0">
            <x v="5"/>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33F73-1D18-4FA1-8E5C-E54CFAEEF0C6}"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H13" firstHeaderRow="1" firstDataRow="2"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1">
        <item x="4"/>
        <item h="1" x="10"/>
        <item h="1"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axis="axisCol" showAll="0">
      <items count="7">
        <item x="2"/>
        <item x="5"/>
        <item x="1"/>
        <item x="0"/>
        <item x="4"/>
        <item x="3"/>
        <item t="default"/>
      </items>
    </pivotField>
    <pivotField showAll="0"/>
    <pivotField numFmtId="43" showAll="0"/>
    <pivotField dataField="1" numFmtId="43" showAll="0">
      <items count="29">
        <item x="16"/>
        <item x="26"/>
        <item x="4"/>
        <item x="25"/>
        <item x="0"/>
        <item x="3"/>
        <item x="2"/>
        <item x="5"/>
        <item x="19"/>
        <item x="7"/>
        <item x="22"/>
        <item x="20"/>
        <item x="6"/>
        <item x="18"/>
        <item x="21"/>
        <item x="24"/>
        <item x="1"/>
        <item x="15"/>
        <item x="9"/>
        <item x="17"/>
        <item x="12"/>
        <item x="23"/>
        <item x="14"/>
        <item x="27"/>
        <item x="10"/>
        <item x="11"/>
        <item x="13"/>
        <item x="8"/>
        <item t="default"/>
      </items>
    </pivotField>
    <pivotField showAll="0">
      <items count="4">
        <item x="0"/>
        <item x="1"/>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8"/>
  </rowFields>
  <rowItems count="9">
    <i>
      <x v="1"/>
    </i>
    <i>
      <x v="2"/>
    </i>
    <i>
      <x v="3"/>
    </i>
    <i>
      <x v="4"/>
    </i>
    <i>
      <x v="5"/>
    </i>
    <i>
      <x v="6"/>
    </i>
    <i>
      <x v="7"/>
    </i>
    <i>
      <x v="8"/>
    </i>
    <i t="grand">
      <x/>
    </i>
  </rowItems>
  <colFields count="1">
    <field x="2"/>
  </colFields>
  <colItems count="7">
    <i>
      <x/>
    </i>
    <i>
      <x v="1"/>
    </i>
    <i>
      <x v="2"/>
    </i>
    <i>
      <x v="3"/>
    </i>
    <i>
      <x v="4"/>
    </i>
    <i>
      <x v="5"/>
    </i>
    <i t="grand">
      <x/>
    </i>
  </colItems>
  <dataFields count="1">
    <dataField name="Sum of รายได้" fld="5" baseField="0" baseItem="0" numFmtId="43"/>
  </dataFields>
  <formats count="1">
    <format dxfId="14">
      <pivotArea outline="0" collapsedLevelsAreSubtotals="1" fieldPosition="0"/>
    </format>
  </formats>
  <chartFormats count="6">
    <chartFormat chart="16" format="111" series="1">
      <pivotArea type="data" outline="0" fieldPosition="0">
        <references count="2">
          <reference field="4294967294" count="1" selected="0">
            <x v="0"/>
          </reference>
          <reference field="2" count="1" selected="0">
            <x v="0"/>
          </reference>
        </references>
      </pivotArea>
    </chartFormat>
    <chartFormat chart="16" format="112" series="1">
      <pivotArea type="data" outline="0" fieldPosition="0">
        <references count="2">
          <reference field="4294967294" count="1" selected="0">
            <x v="0"/>
          </reference>
          <reference field="2" count="1" selected="0">
            <x v="1"/>
          </reference>
        </references>
      </pivotArea>
    </chartFormat>
    <chartFormat chart="16" format="113" series="1">
      <pivotArea type="data" outline="0" fieldPosition="0">
        <references count="2">
          <reference field="4294967294" count="1" selected="0">
            <x v="0"/>
          </reference>
          <reference field="2" count="1" selected="0">
            <x v="2"/>
          </reference>
        </references>
      </pivotArea>
    </chartFormat>
    <chartFormat chart="16" format="114" series="1">
      <pivotArea type="data" outline="0" fieldPosition="0">
        <references count="2">
          <reference field="4294967294" count="1" selected="0">
            <x v="0"/>
          </reference>
          <reference field="2" count="1" selected="0">
            <x v="3"/>
          </reference>
        </references>
      </pivotArea>
    </chartFormat>
    <chartFormat chart="16" format="115" series="1">
      <pivotArea type="data" outline="0" fieldPosition="0">
        <references count="2">
          <reference field="4294967294" count="1" selected="0">
            <x v="0"/>
          </reference>
          <reference field="2" count="1" selected="0">
            <x v="4"/>
          </reference>
        </references>
      </pivotArea>
    </chartFormat>
    <chartFormat chart="16" format="116" series="1">
      <pivotArea type="data" outline="0" fieldPosition="0">
        <references count="2">
          <reference field="4294967294" count="1" selected="0">
            <x v="0"/>
          </reference>
          <reference field="2" count="1" selected="0">
            <x v="5"/>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D7E129-BE61-4A1C-9912-32A04C5323CE}" name="PivotTable3" cacheId="2"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24">
  <location ref="A33:E39" firstHeaderRow="1" firstDataRow="2"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1">
        <item x="4"/>
        <item h="1" x="10"/>
        <item h="1"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axis="axisCol" showAll="0">
      <items count="7">
        <item h="1" x="2"/>
        <item x="5"/>
        <item h="1" x="1"/>
        <item h="1" x="0"/>
        <item x="4"/>
        <item x="3"/>
        <item t="default"/>
      </items>
    </pivotField>
    <pivotField dataField="1" showAll="0"/>
    <pivotField numFmtId="43" showAll="0"/>
    <pivotField numFmtId="43" showAll="0"/>
    <pivotField showAll="0">
      <items count="4">
        <item x="0"/>
        <item x="1"/>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8"/>
  </rowFields>
  <rowItems count="5">
    <i>
      <x v="2"/>
    </i>
    <i>
      <x v="3"/>
    </i>
    <i>
      <x v="4"/>
    </i>
    <i>
      <x v="5"/>
    </i>
    <i t="grand">
      <x/>
    </i>
  </rowItems>
  <colFields count="1">
    <field x="2"/>
  </colFields>
  <colItems count="4">
    <i>
      <x v="1"/>
    </i>
    <i>
      <x v="4"/>
    </i>
    <i>
      <x v="5"/>
    </i>
    <i t="grand">
      <x/>
    </i>
  </colItems>
  <dataFields count="1">
    <dataField name="Sum of จำนวน" fld="3" baseField="0" baseItem="0"/>
  </dataFields>
  <formats count="1">
    <format dxfId="15">
      <pivotArea outline="0" collapsedLevelsAreSubtotals="1" fieldPosition="0"/>
    </format>
  </formats>
  <chartFormats count="6">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 chart="23" format="3" series="1">
      <pivotArea type="data" outline="0" fieldPosition="0">
        <references count="2">
          <reference field="4294967294" count="1" selected="0">
            <x v="0"/>
          </reference>
          <reference field="2" count="1" selected="0">
            <x v="3"/>
          </reference>
        </references>
      </pivotArea>
    </chartFormat>
    <chartFormat chart="23" format="4" series="1">
      <pivotArea type="data" outline="0" fieldPosition="0">
        <references count="2">
          <reference field="4294967294" count="1" selected="0">
            <x v="0"/>
          </reference>
          <reference field="2" count="1" selected="0">
            <x v="4"/>
          </reference>
        </references>
      </pivotArea>
    </chartFormat>
    <chartFormat chart="23" format="5" series="1">
      <pivotArea type="data" outline="0" fieldPosition="0">
        <references count="2">
          <reference field="4294967294" count="1" selected="0">
            <x v="0"/>
          </reference>
          <reference field="2" count="1" selected="0">
            <x v="5"/>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6D1A2B-B0F9-4601-A38C-5543644552F1}"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17:E25" firstHeaderRow="1" firstDataRow="2"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1">
        <item x="4"/>
        <item h="1" x="10"/>
        <item h="1"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axis="axisCol" showAll="0">
      <items count="7">
        <item x="2"/>
        <item x="5"/>
        <item h="1" x="1"/>
        <item h="1" x="0"/>
        <item h="1" x="4"/>
        <item x="3"/>
        <item t="default"/>
      </items>
    </pivotField>
    <pivotField showAll="0"/>
    <pivotField dataField="1" numFmtId="43" showAll="0"/>
    <pivotField numFmtId="43" showAll="0"/>
    <pivotField showAll="0">
      <items count="4">
        <item x="0"/>
        <item x="1"/>
        <item h="1"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8"/>
  </rowFields>
  <rowItems count="7">
    <i>
      <x v="2"/>
    </i>
    <i>
      <x v="3"/>
    </i>
    <i>
      <x v="4"/>
    </i>
    <i>
      <x v="5"/>
    </i>
    <i>
      <x v="6"/>
    </i>
    <i>
      <x v="7"/>
    </i>
    <i t="grand">
      <x/>
    </i>
  </rowItems>
  <colFields count="1">
    <field x="2"/>
  </colFields>
  <colItems count="4">
    <i>
      <x/>
    </i>
    <i>
      <x v="1"/>
    </i>
    <i>
      <x v="5"/>
    </i>
    <i t="grand">
      <x/>
    </i>
  </colItems>
  <dataFields count="1">
    <dataField name="Sum of ต้นทุนรวม" fld="4" baseField="0" baseItem="0" numFmtId="43"/>
  </dataFields>
  <formats count="1">
    <format dxfId="16">
      <pivotArea outline="0" collapsedLevelsAreSubtotals="1" fieldPosition="0"/>
    </format>
  </formats>
  <chartFormats count="6">
    <chartFormat chart="33" format="0" series="1">
      <pivotArea type="data" outline="0" fieldPosition="0">
        <references count="2">
          <reference field="4294967294" count="1" selected="0">
            <x v="0"/>
          </reference>
          <reference field="2" count="1" selected="0">
            <x v="0"/>
          </reference>
        </references>
      </pivotArea>
    </chartFormat>
    <chartFormat chart="33" format="1" series="1">
      <pivotArea type="data" outline="0" fieldPosition="0">
        <references count="2">
          <reference field="4294967294" count="1" selected="0">
            <x v="0"/>
          </reference>
          <reference field="2" count="1" selected="0">
            <x v="1"/>
          </reference>
        </references>
      </pivotArea>
    </chartFormat>
    <chartFormat chart="33" format="2" series="1">
      <pivotArea type="data" outline="0" fieldPosition="0">
        <references count="2">
          <reference field="4294967294" count="1" selected="0">
            <x v="0"/>
          </reference>
          <reference field="2" count="1" selected="0">
            <x v="2"/>
          </reference>
        </references>
      </pivotArea>
    </chartFormat>
    <chartFormat chart="33" format="3" series="1">
      <pivotArea type="data" outline="0" fieldPosition="0">
        <references count="2">
          <reference field="4294967294" count="1" selected="0">
            <x v="0"/>
          </reference>
          <reference field="2" count="1" selected="0">
            <x v="3"/>
          </reference>
        </references>
      </pivotArea>
    </chartFormat>
    <chartFormat chart="33" format="4" series="1">
      <pivotArea type="data" outline="0" fieldPosition="0">
        <references count="2">
          <reference field="4294967294" count="1" selected="0">
            <x v="0"/>
          </reference>
          <reference field="2" count="1" selected="0">
            <x v="4"/>
          </reference>
        </references>
      </pivotArea>
    </chartFormat>
    <chartFormat chart="33" format="5" series="1">
      <pivotArea type="data" outline="0" fieldPosition="0">
        <references count="2">
          <reference field="4294967294" count="1" selected="0">
            <x v="0"/>
          </reference>
          <reference field="2" count="1" selected="0">
            <x v="5"/>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BF456-278F-45F9-9CD8-7D37649FFEDA}"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A83:H87" firstHeaderRow="1" firstDataRow="2" firstDataCol="1"/>
  <pivotFields count="9">
    <pivotField numFmtId="18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1">
        <item x="4"/>
        <item h="1" x="10"/>
        <item h="1" x="17"/>
        <item h="1" x="9"/>
        <item h="1" x="20"/>
        <item h="1" x="29"/>
        <item h="1" x="1"/>
        <item h="1" x="16"/>
        <item h="1" x="18"/>
        <item h="1" x="0"/>
        <item h="1" x="2"/>
        <item h="1" x="26"/>
        <item h="1" x="8"/>
        <item h="1" x="13"/>
        <item h="1" x="22"/>
        <item h="1" x="5"/>
        <item h="1" x="24"/>
        <item h="1" x="25"/>
        <item h="1" x="6"/>
        <item h="1" x="11"/>
        <item h="1" x="12"/>
        <item h="1" x="3"/>
        <item h="1" x="21"/>
        <item h="1" x="23"/>
        <item h="1" x="15"/>
        <item h="1" x="19"/>
        <item h="1" x="27"/>
        <item h="1" x="7"/>
        <item h="1" x="14"/>
        <item h="1" x="28"/>
        <item t="default"/>
      </items>
    </pivotField>
    <pivotField axis="axisCol" showAll="0">
      <items count="7">
        <item x="2"/>
        <item x="5"/>
        <item x="1"/>
        <item x="0"/>
        <item x="4"/>
        <item x="3"/>
        <item t="default"/>
      </items>
    </pivotField>
    <pivotField dataField="1" showAll="0"/>
    <pivotField numFmtId="43" showAll="0"/>
    <pivotField numFmtId="43" showAll="0">
      <items count="29">
        <item x="16"/>
        <item x="26"/>
        <item x="4"/>
        <item x="25"/>
        <item x="0"/>
        <item x="3"/>
        <item x="2"/>
        <item x="5"/>
        <item x="19"/>
        <item x="7"/>
        <item x="22"/>
        <item x="20"/>
        <item x="6"/>
        <item x="18"/>
        <item x="21"/>
        <item x="24"/>
        <item x="1"/>
        <item x="15"/>
        <item x="9"/>
        <item x="17"/>
        <item x="12"/>
        <item x="23"/>
        <item x="14"/>
        <item x="27"/>
        <item x="10"/>
        <item x="11"/>
        <item x="13"/>
        <item x="8"/>
        <item t="default"/>
      </items>
    </pivotField>
    <pivotField axis="axisRow" showAll="0">
      <items count="4">
        <item x="0"/>
        <item x="1"/>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sd="0" x="0"/>
        <item sd="0" x="1"/>
        <item sd="0" x="2"/>
        <item sd="0" x="3"/>
        <item sd="0" x="4"/>
        <item sd="0" x="5"/>
        <item sd="0" x="6"/>
        <item sd="0" x="7"/>
        <item sd="0" x="8"/>
        <item sd="0" x="9"/>
        <item sd="0" x="10"/>
        <item sd="0" x="11"/>
        <item sd="0" x="12"/>
        <item sd="0" x="13"/>
        <item t="default" sd="0"/>
      </items>
    </pivotField>
  </pivotFields>
  <rowFields count="1">
    <field x="6"/>
  </rowFields>
  <rowItems count="3">
    <i>
      <x/>
    </i>
    <i>
      <x v="1"/>
    </i>
    <i t="grand">
      <x/>
    </i>
  </rowItems>
  <colFields count="1">
    <field x="2"/>
  </colFields>
  <colItems count="7">
    <i>
      <x/>
    </i>
    <i>
      <x v="1"/>
    </i>
    <i>
      <x v="2"/>
    </i>
    <i>
      <x v="3"/>
    </i>
    <i>
      <x v="4"/>
    </i>
    <i>
      <x v="5"/>
    </i>
    <i t="grand">
      <x/>
    </i>
  </colItems>
  <dataFields count="1">
    <dataField name="Sum of จำนวน" fld="3" baseField="0" baseItem="0"/>
  </dataFields>
  <formats count="1">
    <format dxfId="17">
      <pivotArea outline="0" collapsedLevelsAreSubtotals="1" fieldPosition="0"/>
    </format>
  </formats>
  <chartFormats count="6">
    <chartFormat chart="24" format="48" series="1">
      <pivotArea type="data" outline="0" fieldPosition="0">
        <references count="2">
          <reference field="4294967294" count="1" selected="0">
            <x v="0"/>
          </reference>
          <reference field="2" count="1" selected="0">
            <x v="0"/>
          </reference>
        </references>
      </pivotArea>
    </chartFormat>
    <chartFormat chart="24" format="49" series="1">
      <pivotArea type="data" outline="0" fieldPosition="0">
        <references count="2">
          <reference field="4294967294" count="1" selected="0">
            <x v="0"/>
          </reference>
          <reference field="2" count="1" selected="0">
            <x v="1"/>
          </reference>
        </references>
      </pivotArea>
    </chartFormat>
    <chartFormat chart="24" format="50" series="1">
      <pivotArea type="data" outline="0" fieldPosition="0">
        <references count="2">
          <reference field="4294967294" count="1" selected="0">
            <x v="0"/>
          </reference>
          <reference field="2" count="1" selected="0">
            <x v="2"/>
          </reference>
        </references>
      </pivotArea>
    </chartFormat>
    <chartFormat chart="24" format="51" series="1">
      <pivotArea type="data" outline="0" fieldPosition="0">
        <references count="2">
          <reference field="4294967294" count="1" selected="0">
            <x v="0"/>
          </reference>
          <reference field="2" count="1" selected="0">
            <x v="3"/>
          </reference>
        </references>
      </pivotArea>
    </chartFormat>
    <chartFormat chart="24" format="52" series="1">
      <pivotArea type="data" outline="0" fieldPosition="0">
        <references count="2">
          <reference field="4294967294" count="1" selected="0">
            <x v="0"/>
          </reference>
          <reference field="2" count="1" selected="0">
            <x v="4"/>
          </reference>
        </references>
      </pivotArea>
    </chartFormat>
    <chartFormat chart="24" format="53" series="1">
      <pivotArea type="data" outline="0" fieldPosition="0">
        <references count="2">
          <reference field="4294967294" count="1" selected="0">
            <x v="0"/>
          </reference>
          <reference field="2" count="1" selected="0">
            <x v="5"/>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แพลตฟอร์ม" xr10:uid="{75BC9589-0909-4815-8A2D-6A7455DB4C18}" sourceName="แพลตฟอร์ม">
  <pivotTables>
    <pivotTable tabId="2" name="PivotTable1"/>
    <pivotTable tabId="2" name="PivotTable2"/>
    <pivotTable tabId="2" name="PivotTable3"/>
    <pivotTable tabId="2" name="PivotTable4"/>
    <pivotTable tabId="2" name="PivotTable5"/>
    <pivotTable tabId="2" name="PivotTable6"/>
  </pivotTables>
  <data>
    <tabular pivotCacheId="1746780930">
      <items count="3">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หมวดหมู่สินค้า" xr10:uid="{8D78AC2F-218F-4350-BB78-49B7C945EA91}" sourceName="หมวดหมู่สินค้า">
  <pivotTables>
    <pivotTable tabId="2" name="PivotTable2"/>
  </pivotTables>
  <data>
    <tabular pivotCacheId="1746780930">
      <items count="6">
        <i x="2" s="1"/>
        <i x="5" s="1"/>
        <i x="1"/>
        <i x="0"/>
        <i x="4"/>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หมวดหมู่สินค้า1" xr10:uid="{BE7075C0-CEC2-4E3E-B579-CFE889820267}" sourceName="หมวดหมู่สินค้า">
  <pivotTables>
    <pivotTable tabId="2" name="PivotTable3"/>
  </pivotTables>
  <data>
    <tabular pivotCacheId="1746780930">
      <items count="6">
        <i x="2"/>
        <i x="5" s="1"/>
        <i x="1"/>
        <i x="0"/>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วันที่" xr10:uid="{16A1CCE8-8797-4236-949E-8CCEA544458D}" sourceName="Months (วันที่)">
  <pivotTables>
    <pivotTable tabId="2" name="PivotTable4"/>
  </pivotTables>
  <data>
    <tabular pivotCacheId="1746780930">
      <items count="14">
        <i x="1"/>
        <i x="2" s="1"/>
        <i x="3"/>
        <i x="4"/>
        <i x="5"/>
        <i x="6"/>
        <i x="7"/>
        <i x="8"/>
        <i x="9" nd="1"/>
        <i x="10" nd="1"/>
        <i x="11" nd="1"/>
        <i x="12" nd="1"/>
        <i x="0"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ชื่อสินค้า" xr10:uid="{E266A17E-8FC5-4683-98B3-79D0485512C7}" sourceName="ชื่อสินค้า">
  <pivotTables>
    <pivotTable tabId="2" name="PivotTable5"/>
  </pivotTables>
  <data>
    <tabular pivotCacheId="1746780930">
      <items count="30">
        <i x="4" s="1"/>
        <i x="10" s="1"/>
        <i x="17" s="1"/>
        <i x="9"/>
        <i x="20"/>
        <i x="29"/>
        <i x="1"/>
        <i x="18"/>
        <i x="0"/>
        <i x="2"/>
        <i x="26"/>
        <i x="8"/>
        <i x="13"/>
        <i x="22"/>
        <i x="5"/>
        <i x="24"/>
        <i x="25"/>
        <i x="11"/>
        <i x="12"/>
        <i x="3"/>
        <i x="21"/>
        <i x="23"/>
        <i x="15"/>
        <i x="19"/>
        <i x="27"/>
        <i x="7"/>
        <i x="16" nd="1"/>
        <i x="6" nd="1"/>
        <i x="14" nd="1"/>
        <i x="2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แพลตฟอร์ม" xr10:uid="{C1F74672-7009-4E05-884A-37B05E41CBF4}" cache="Slicer_แพลตฟอร์ม" caption="แพลตฟอร์ม" rowHeight="254906"/>
  <slicer name="แพลตฟอร์ม 1" xr10:uid="{1160073B-655E-4799-BCC0-639E05160BF7}" cache="Slicer_แพลตฟอร์ม" caption="แพลตฟอร์ม" rowHeight="254906"/>
  <slicer name="หมวดหมู่สินค้า" xr10:uid="{E81F8B32-CBE8-4E3F-BB26-A32B3177B6E8}" cache="Slicer_หมวดหมู่สินค้า" caption="หมวดหมู่สินค้า" rowHeight="254906"/>
  <slicer name="หมวดหมู่สินค้า 1" xr10:uid="{F501B064-A8EF-487E-94B2-44196A9AF4CC}" cache="Slicer_หมวดหมู่สินค้า1" caption="หมวดหมู่สินค้า" rowHeight="254906"/>
  <slicer name="Months (วันที่)" xr10:uid="{4B18AD02-0D6C-416D-A7FF-8FB925839543}" cache="Slicer_Months__วันที่" caption="Months (วันที่)" rowHeight="254906"/>
  <slicer name="ชื่อสินค้า" xr10:uid="{7B286D50-9FFD-4BEC-8E70-5744E7D8921C}" cache="Slicer_ชื่อสินค้า" caption="ชื่อสินค้า"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6AD970-0EF5-4D78-B1B3-5CECF0F05834}" name="tDATA" displayName="tDATA" ref="A1:G31" totalsRowShown="0" headerRowDxfId="11" dataDxfId="9" headerRowBorderDxfId="10" tableBorderDxfId="8" totalsRowBorderDxfId="7" headerRowCellStyle="Comma">
  <autoFilter ref="A1:G31" xr:uid="{A26AD970-0EF5-4D78-B1B3-5CECF0F05834}"/>
  <tableColumns count="7">
    <tableColumn id="1" xr3:uid="{F7C82826-FFFF-4068-BA18-3FF852F1F7FE}" name="วันที่" dataDxfId="6"/>
    <tableColumn id="2" xr3:uid="{F5D4375C-1600-4A49-B41E-57273DD7186E}" name="ชื่อสินค้า" dataDxfId="5"/>
    <tableColumn id="3" xr3:uid="{C75B081D-9CE2-4B9F-95F3-E64BEA8EB33B}" name="หมวดหมู่สินค้า" dataDxfId="4"/>
    <tableColumn id="4" xr3:uid="{C298F7C5-59FE-423B-AF9A-9655F8A49240}" name="จำนวน" dataDxfId="3"/>
    <tableColumn id="5" xr3:uid="{75807DD2-1918-412C-9E7A-A27EE7C79D1A}" name="ต้นทุนรวม" dataDxfId="2" dataCellStyle="Comma"/>
    <tableColumn id="6" xr3:uid="{C514888B-42A5-4447-A86A-A9A0DF0A8C95}" name="รายได้" dataDxfId="1" dataCellStyle="Comma"/>
    <tableColumn id="7" xr3:uid="{636DBA2D-EFC4-4B27-B1C4-339B336FC491}" name="แพลตฟอร์ม"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61D3-87B9-41E9-8A9C-B02F3ED18A79}">
  <dimension ref="A3:H87"/>
  <sheetViews>
    <sheetView tabSelected="1" zoomScale="85" zoomScaleNormal="85" workbookViewId="0">
      <selection activeCell="F41" sqref="F41"/>
    </sheetView>
  </sheetViews>
  <sheetFormatPr defaultRowHeight="13.75" x14ac:dyDescent="0.3"/>
  <cols>
    <col min="1" max="1" width="14" bestFit="1" customWidth="1"/>
    <col min="2" max="2" width="17.0703125" bestFit="1" customWidth="1"/>
    <col min="3" max="3" width="7.92578125" bestFit="1" customWidth="1"/>
    <col min="4" max="4" width="6.28515625" bestFit="1" customWidth="1"/>
    <col min="5" max="5" width="10.7109375" customWidth="1"/>
    <col min="6" max="6" width="8.5" customWidth="1"/>
    <col min="7" max="7" width="8.140625" customWidth="1"/>
    <col min="8" max="8" width="11.28515625" customWidth="1"/>
    <col min="9" max="9" width="8.7109375" customWidth="1"/>
    <col min="10" max="10" width="11.5703125" customWidth="1"/>
    <col min="11" max="11" width="6.140625" bestFit="1" customWidth="1"/>
    <col min="12" max="12" width="21.140625" bestFit="1" customWidth="1"/>
    <col min="13" max="13" width="9.28515625" bestFit="1" customWidth="1"/>
    <col min="14" max="14" width="12.42578125" bestFit="1" customWidth="1"/>
    <col min="15" max="15" width="8.5" bestFit="1" customWidth="1"/>
    <col min="16" max="16" width="6.140625" bestFit="1" customWidth="1"/>
    <col min="17" max="17" width="11.640625" bestFit="1" customWidth="1"/>
    <col min="18" max="18" width="11.92578125" bestFit="1" customWidth="1"/>
    <col min="20" max="20" width="11.640625" bestFit="1" customWidth="1"/>
    <col min="21" max="21" width="11.92578125" bestFit="1" customWidth="1"/>
  </cols>
  <sheetData>
    <row r="3" spans="1:8" x14ac:dyDescent="0.3">
      <c r="A3" s="17" t="s">
        <v>48</v>
      </c>
      <c r="B3" s="17" t="s">
        <v>47</v>
      </c>
    </row>
    <row r="4" spans="1:8" x14ac:dyDescent="0.3">
      <c r="A4" s="17" t="s">
        <v>45</v>
      </c>
      <c r="B4" t="s">
        <v>8</v>
      </c>
      <c r="C4" t="s">
        <v>5</v>
      </c>
      <c r="D4" t="s">
        <v>7</v>
      </c>
      <c r="E4" t="s">
        <v>6</v>
      </c>
      <c r="F4" t="s">
        <v>10</v>
      </c>
      <c r="G4" t="s">
        <v>9</v>
      </c>
      <c r="H4" t="s">
        <v>46</v>
      </c>
    </row>
    <row r="5" spans="1:8" x14ac:dyDescent="0.3">
      <c r="A5" s="18" t="s">
        <v>55</v>
      </c>
      <c r="B5" s="19"/>
      <c r="C5" s="19"/>
      <c r="D5" s="19">
        <v>312</v>
      </c>
      <c r="E5" s="19">
        <v>106</v>
      </c>
      <c r="F5" s="19"/>
      <c r="G5" s="19"/>
      <c r="H5" s="19">
        <v>418</v>
      </c>
    </row>
    <row r="6" spans="1:8" x14ac:dyDescent="0.3">
      <c r="A6" s="18" t="s">
        <v>49</v>
      </c>
      <c r="B6" s="19">
        <v>139</v>
      </c>
      <c r="C6" s="19"/>
      <c r="D6" s="19"/>
      <c r="E6" s="19">
        <v>142</v>
      </c>
      <c r="F6" s="19"/>
      <c r="G6" s="19">
        <v>63</v>
      </c>
      <c r="H6" s="19">
        <v>344</v>
      </c>
    </row>
    <row r="7" spans="1:8" x14ac:dyDescent="0.3">
      <c r="A7" s="18" t="s">
        <v>50</v>
      </c>
      <c r="B7" s="19">
        <v>146</v>
      </c>
      <c r="C7" s="19">
        <v>576</v>
      </c>
      <c r="D7" s="19"/>
      <c r="E7" s="19">
        <v>348</v>
      </c>
      <c r="F7" s="19"/>
      <c r="G7" s="19">
        <v>590</v>
      </c>
      <c r="H7" s="19">
        <v>1660</v>
      </c>
    </row>
    <row r="8" spans="1:8" x14ac:dyDescent="0.3">
      <c r="A8" s="18" t="s">
        <v>51</v>
      </c>
      <c r="B8" s="19">
        <v>337</v>
      </c>
      <c r="C8" s="19">
        <v>527</v>
      </c>
      <c r="D8" s="19"/>
      <c r="E8" s="19"/>
      <c r="F8" s="19">
        <v>819</v>
      </c>
      <c r="G8" s="19"/>
      <c r="H8" s="19">
        <v>1683</v>
      </c>
    </row>
    <row r="9" spans="1:8" x14ac:dyDescent="0.3">
      <c r="A9" s="18" t="s">
        <v>52</v>
      </c>
      <c r="B9" s="19">
        <v>510</v>
      </c>
      <c r="C9" s="19">
        <v>238</v>
      </c>
      <c r="D9" s="19">
        <v>142</v>
      </c>
      <c r="E9" s="19">
        <v>252</v>
      </c>
      <c r="F9" s="19"/>
      <c r="G9" s="19">
        <v>63</v>
      </c>
      <c r="H9" s="19">
        <v>1205</v>
      </c>
    </row>
    <row r="10" spans="1:8" x14ac:dyDescent="0.3">
      <c r="A10" s="18" t="s">
        <v>53</v>
      </c>
      <c r="B10" s="19">
        <v>853</v>
      </c>
      <c r="C10" s="19"/>
      <c r="D10" s="19"/>
      <c r="E10" s="19"/>
      <c r="F10" s="19"/>
      <c r="G10" s="19"/>
      <c r="H10" s="19">
        <v>853</v>
      </c>
    </row>
    <row r="11" spans="1:8" x14ac:dyDescent="0.3">
      <c r="A11" s="18" t="s">
        <v>54</v>
      </c>
      <c r="B11" s="19">
        <v>67</v>
      </c>
      <c r="C11" s="19"/>
      <c r="D11" s="19"/>
      <c r="E11" s="19">
        <v>303</v>
      </c>
      <c r="F11" s="19"/>
      <c r="G11" s="19"/>
      <c r="H11" s="19">
        <v>370</v>
      </c>
    </row>
    <row r="12" spans="1:8" x14ac:dyDescent="0.3">
      <c r="A12" s="18" t="s">
        <v>56</v>
      </c>
      <c r="B12" s="19"/>
      <c r="C12" s="19"/>
      <c r="D12" s="19"/>
      <c r="E12" s="19">
        <v>396</v>
      </c>
      <c r="F12" s="19"/>
      <c r="G12" s="19"/>
      <c r="H12" s="19">
        <v>396</v>
      </c>
    </row>
    <row r="13" spans="1:8" x14ac:dyDescent="0.3">
      <c r="A13" s="18" t="s">
        <v>46</v>
      </c>
      <c r="B13" s="19">
        <v>2052</v>
      </c>
      <c r="C13" s="19">
        <v>1341</v>
      </c>
      <c r="D13" s="19">
        <v>454</v>
      </c>
      <c r="E13" s="19">
        <v>1547</v>
      </c>
      <c r="F13" s="19">
        <v>819</v>
      </c>
      <c r="G13" s="19">
        <v>716</v>
      </c>
      <c r="H13" s="19">
        <v>6929</v>
      </c>
    </row>
    <row r="14" spans="1:8" x14ac:dyDescent="0.3">
      <c r="A14" t="s">
        <v>59</v>
      </c>
    </row>
    <row r="17" spans="1:5" x14ac:dyDescent="0.3">
      <c r="A17" s="17" t="s">
        <v>58</v>
      </c>
      <c r="B17" s="17" t="s">
        <v>47</v>
      </c>
    </row>
    <row r="18" spans="1:5" x14ac:dyDescent="0.3">
      <c r="A18" s="17" t="s">
        <v>45</v>
      </c>
      <c r="B18" t="s">
        <v>8</v>
      </c>
      <c r="C18" t="s">
        <v>5</v>
      </c>
      <c r="D18" t="s">
        <v>9</v>
      </c>
      <c r="E18" t="s">
        <v>46</v>
      </c>
    </row>
    <row r="19" spans="1:5" x14ac:dyDescent="0.3">
      <c r="A19" s="18" t="s">
        <v>49</v>
      </c>
      <c r="B19" s="19">
        <v>131.99</v>
      </c>
      <c r="C19" s="19"/>
      <c r="D19" s="19">
        <v>52.25</v>
      </c>
      <c r="E19" s="19">
        <v>184.24</v>
      </c>
    </row>
    <row r="20" spans="1:5" x14ac:dyDescent="0.3">
      <c r="A20" s="18" t="s">
        <v>50</v>
      </c>
      <c r="B20" s="19">
        <v>133.74</v>
      </c>
      <c r="C20" s="19">
        <v>457.39</v>
      </c>
      <c r="D20" s="19">
        <v>475.37</v>
      </c>
      <c r="E20" s="19">
        <v>1066.5</v>
      </c>
    </row>
    <row r="21" spans="1:5" x14ac:dyDescent="0.3">
      <c r="A21" s="18" t="s">
        <v>51</v>
      </c>
      <c r="B21" s="19">
        <v>269.66000000000003</v>
      </c>
      <c r="C21" s="19">
        <v>414.88</v>
      </c>
      <c r="D21" s="19"/>
      <c r="E21" s="19">
        <v>684.54</v>
      </c>
    </row>
    <row r="22" spans="1:5" x14ac:dyDescent="0.3">
      <c r="A22" s="18" t="s">
        <v>52</v>
      </c>
      <c r="B22" s="19">
        <v>440.53</v>
      </c>
      <c r="C22" s="19">
        <v>195.39</v>
      </c>
      <c r="D22" s="19">
        <v>56.02</v>
      </c>
      <c r="E22" s="19">
        <v>691.93999999999994</v>
      </c>
    </row>
    <row r="23" spans="1:5" x14ac:dyDescent="0.3">
      <c r="A23" s="18" t="s">
        <v>53</v>
      </c>
      <c r="B23" s="19">
        <v>770.33</v>
      </c>
      <c r="C23" s="19"/>
      <c r="D23" s="19"/>
      <c r="E23" s="19">
        <v>770.33</v>
      </c>
    </row>
    <row r="24" spans="1:5" x14ac:dyDescent="0.3">
      <c r="A24" s="18" t="s">
        <v>54</v>
      </c>
      <c r="B24" s="19">
        <v>56.66</v>
      </c>
      <c r="C24" s="19"/>
      <c r="D24" s="19"/>
      <c r="E24" s="19">
        <v>56.66</v>
      </c>
    </row>
    <row r="25" spans="1:5" x14ac:dyDescent="0.3">
      <c r="A25" s="18" t="s">
        <v>46</v>
      </c>
      <c r="B25" s="19">
        <v>1802.91</v>
      </c>
      <c r="C25" s="19">
        <v>1067.6599999999999</v>
      </c>
      <c r="D25" s="19">
        <v>583.64</v>
      </c>
      <c r="E25" s="19">
        <v>3454.2099999999996</v>
      </c>
    </row>
    <row r="27" spans="1:5" x14ac:dyDescent="0.3">
      <c r="A27" s="18" t="s">
        <v>60</v>
      </c>
    </row>
    <row r="33" spans="1:5" x14ac:dyDescent="0.3">
      <c r="A33" s="17" t="s">
        <v>57</v>
      </c>
    </row>
    <row r="34" spans="1:5" x14ac:dyDescent="0.3">
      <c r="B34" t="s">
        <v>5</v>
      </c>
      <c r="C34" t="s">
        <v>10</v>
      </c>
      <c r="D34" t="s">
        <v>9</v>
      </c>
      <c r="E34" t="s">
        <v>46</v>
      </c>
    </row>
    <row r="35" spans="1:5" x14ac:dyDescent="0.3">
      <c r="A35" s="18" t="s">
        <v>49</v>
      </c>
      <c r="B35" s="19"/>
      <c r="C35" s="19"/>
      <c r="D35" s="19">
        <v>42</v>
      </c>
      <c r="E35" s="19">
        <v>42</v>
      </c>
    </row>
    <row r="36" spans="1:5" x14ac:dyDescent="0.3">
      <c r="A36" s="18" t="s">
        <v>50</v>
      </c>
      <c r="B36" s="19">
        <v>79</v>
      </c>
      <c r="C36" s="19"/>
      <c r="D36" s="19">
        <v>117</v>
      </c>
      <c r="E36" s="19">
        <v>196</v>
      </c>
    </row>
    <row r="37" spans="1:5" x14ac:dyDescent="0.3">
      <c r="A37" s="18" t="s">
        <v>51</v>
      </c>
      <c r="B37" s="19">
        <v>28</v>
      </c>
      <c r="C37" s="19">
        <v>71</v>
      </c>
      <c r="D37" s="19"/>
      <c r="E37" s="19">
        <v>99</v>
      </c>
    </row>
    <row r="38" spans="1:5" x14ac:dyDescent="0.3">
      <c r="A38" s="18" t="s">
        <v>52</v>
      </c>
      <c r="B38" s="19">
        <v>41</v>
      </c>
      <c r="C38" s="19"/>
      <c r="D38" s="19">
        <v>39</v>
      </c>
      <c r="E38" s="19">
        <v>80</v>
      </c>
    </row>
    <row r="39" spans="1:5" x14ac:dyDescent="0.3">
      <c r="A39" s="18" t="s">
        <v>46</v>
      </c>
      <c r="B39" s="19">
        <v>148</v>
      </c>
      <c r="C39" s="19">
        <v>71</v>
      </c>
      <c r="D39" s="19">
        <v>198</v>
      </c>
      <c r="E39" s="19">
        <v>417</v>
      </c>
    </row>
    <row r="50" spans="1:5" x14ac:dyDescent="0.3">
      <c r="A50" s="17" t="s">
        <v>48</v>
      </c>
      <c r="B50" s="17" t="s">
        <v>47</v>
      </c>
    </row>
    <row r="51" spans="1:5" x14ac:dyDescent="0.3">
      <c r="A51" s="17" t="s">
        <v>45</v>
      </c>
      <c r="B51" t="s">
        <v>8</v>
      </c>
      <c r="C51" t="s">
        <v>6</v>
      </c>
      <c r="D51" t="s">
        <v>9</v>
      </c>
      <c r="E51" t="s">
        <v>46</v>
      </c>
    </row>
    <row r="52" spans="1:5" x14ac:dyDescent="0.3">
      <c r="A52" s="18" t="s">
        <v>49</v>
      </c>
      <c r="B52" s="19">
        <v>139</v>
      </c>
      <c r="C52" s="19">
        <v>142</v>
      </c>
      <c r="D52" s="19">
        <v>63</v>
      </c>
      <c r="E52" s="19">
        <v>344</v>
      </c>
    </row>
    <row r="53" spans="1:5" x14ac:dyDescent="0.3">
      <c r="A53" s="18" t="s">
        <v>46</v>
      </c>
      <c r="B53" s="19">
        <v>139</v>
      </c>
      <c r="C53" s="19">
        <v>142</v>
      </c>
      <c r="D53" s="19">
        <v>63</v>
      </c>
      <c r="E53" s="19">
        <v>344</v>
      </c>
    </row>
    <row r="67" spans="1:3" x14ac:dyDescent="0.3">
      <c r="A67" s="17" t="s">
        <v>45</v>
      </c>
      <c r="B67" t="s">
        <v>48</v>
      </c>
      <c r="C67" t="s">
        <v>58</v>
      </c>
    </row>
    <row r="68" spans="1:3" x14ac:dyDescent="0.3">
      <c r="A68" s="18" t="s">
        <v>25</v>
      </c>
      <c r="B68" s="19">
        <v>63</v>
      </c>
      <c r="C68" s="19">
        <v>52.25</v>
      </c>
    </row>
    <row r="69" spans="1:3" x14ac:dyDescent="0.3">
      <c r="A69" s="18" t="s">
        <v>26</v>
      </c>
      <c r="B69" s="19">
        <v>418</v>
      </c>
      <c r="C69" s="19">
        <v>337.42</v>
      </c>
    </row>
    <row r="70" spans="1:3" x14ac:dyDescent="0.3">
      <c r="A70" s="18" t="s">
        <v>27</v>
      </c>
      <c r="B70" s="19">
        <v>63</v>
      </c>
      <c r="C70" s="19">
        <v>56.02</v>
      </c>
    </row>
    <row r="71" spans="1:3" x14ac:dyDescent="0.3">
      <c r="A71" s="18" t="s">
        <v>46</v>
      </c>
      <c r="B71" s="19">
        <v>544</v>
      </c>
      <c r="C71" s="19">
        <v>445.69</v>
      </c>
    </row>
    <row r="83" spans="1:8" x14ac:dyDescent="0.3">
      <c r="A83" s="17" t="s">
        <v>57</v>
      </c>
      <c r="B83" s="17" t="s">
        <v>47</v>
      </c>
    </row>
    <row r="84" spans="1:8" x14ac:dyDescent="0.3">
      <c r="A84" s="17" t="s">
        <v>45</v>
      </c>
      <c r="B84" t="s">
        <v>8</v>
      </c>
      <c r="C84" t="s">
        <v>5</v>
      </c>
      <c r="D84" t="s">
        <v>7</v>
      </c>
      <c r="E84" t="s">
        <v>6</v>
      </c>
      <c r="F84" t="s">
        <v>10</v>
      </c>
      <c r="G84" t="s">
        <v>9</v>
      </c>
      <c r="H84" t="s">
        <v>46</v>
      </c>
    </row>
    <row r="85" spans="1:8" x14ac:dyDescent="0.3">
      <c r="A85" s="18" t="s">
        <v>11</v>
      </c>
      <c r="B85" s="19">
        <v>169</v>
      </c>
      <c r="C85" s="19">
        <v>148</v>
      </c>
      <c r="D85" s="19">
        <v>6</v>
      </c>
      <c r="E85" s="19">
        <v>132</v>
      </c>
      <c r="F85" s="19"/>
      <c r="G85" s="19">
        <v>39</v>
      </c>
      <c r="H85" s="19">
        <v>494</v>
      </c>
    </row>
    <row r="86" spans="1:8" x14ac:dyDescent="0.3">
      <c r="A86" s="18" t="s">
        <v>12</v>
      </c>
      <c r="B86" s="19">
        <v>176</v>
      </c>
      <c r="C86" s="19"/>
      <c r="D86" s="19">
        <v>88</v>
      </c>
      <c r="E86" s="19">
        <v>159</v>
      </c>
      <c r="F86" s="19">
        <v>71</v>
      </c>
      <c r="G86" s="19">
        <v>159</v>
      </c>
      <c r="H86" s="19">
        <v>653</v>
      </c>
    </row>
    <row r="87" spans="1:8" x14ac:dyDescent="0.3">
      <c r="A87" s="18" t="s">
        <v>46</v>
      </c>
      <c r="B87" s="19">
        <v>345</v>
      </c>
      <c r="C87" s="19">
        <v>148</v>
      </c>
      <c r="D87" s="19">
        <v>94</v>
      </c>
      <c r="E87" s="19">
        <v>291</v>
      </c>
      <c r="F87" s="19">
        <v>71</v>
      </c>
      <c r="G87" s="19">
        <v>198</v>
      </c>
      <c r="H87" s="19">
        <v>1147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zoomScale="115" zoomScaleNormal="115" workbookViewId="0">
      <selection activeCell="G8" sqref="G8"/>
    </sheetView>
  </sheetViews>
  <sheetFormatPr defaultRowHeight="13.75" x14ac:dyDescent="0.3"/>
  <cols>
    <col min="1" max="1" width="10.35546875" style="16" bestFit="1" customWidth="1"/>
    <col min="2" max="2" width="13.7109375" style="4" customWidth="1"/>
    <col min="3" max="3" width="16.28515625" style="4" bestFit="1" customWidth="1"/>
    <col min="4" max="4" width="9.140625" style="4"/>
    <col min="5" max="5" width="11.78515625" style="12" customWidth="1"/>
    <col min="6" max="6" width="9.78515625" style="12" bestFit="1" customWidth="1"/>
    <col min="7" max="7" width="12.5703125" style="4" bestFit="1" customWidth="1"/>
    <col min="8" max="8" width="9.140625" style="4"/>
    <col min="9" max="9" width="9.35546875" style="4" bestFit="1" customWidth="1"/>
    <col min="10" max="16384" width="9.140625" style="4"/>
  </cols>
  <sheetData>
    <row r="1" spans="1:9" x14ac:dyDescent="0.3">
      <c r="A1" s="13" t="s">
        <v>0</v>
      </c>
      <c r="B1" s="1" t="s">
        <v>1</v>
      </c>
      <c r="C1" s="1" t="s">
        <v>2</v>
      </c>
      <c r="D1" s="1" t="s">
        <v>3</v>
      </c>
      <c r="E1" s="2" t="s">
        <v>43</v>
      </c>
      <c r="F1" s="2" t="s">
        <v>44</v>
      </c>
      <c r="G1" s="3" t="s">
        <v>4</v>
      </c>
    </row>
    <row r="2" spans="1:9" x14ac:dyDescent="0.3">
      <c r="A2" s="14">
        <v>45292</v>
      </c>
      <c r="B2" s="5" t="s">
        <v>16</v>
      </c>
      <c r="C2" s="5" t="s">
        <v>6</v>
      </c>
      <c r="D2" s="5">
        <v>2</v>
      </c>
      <c r="E2" s="6">
        <v>86.51</v>
      </c>
      <c r="F2" s="6">
        <v>106</v>
      </c>
      <c r="G2" s="7" t="s">
        <v>61</v>
      </c>
    </row>
    <row r="3" spans="1:9" x14ac:dyDescent="0.3">
      <c r="A3" s="14">
        <v>45296</v>
      </c>
      <c r="B3" s="5" t="s">
        <v>22</v>
      </c>
      <c r="C3" s="5" t="s">
        <v>7</v>
      </c>
      <c r="D3" s="5">
        <v>6</v>
      </c>
      <c r="E3" s="6">
        <v>276.20999999999998</v>
      </c>
      <c r="F3" s="6">
        <v>312</v>
      </c>
      <c r="G3" s="7" t="s">
        <v>61</v>
      </c>
      <c r="I3" s="8"/>
    </row>
    <row r="4" spans="1:9" x14ac:dyDescent="0.3">
      <c r="A4" s="14">
        <v>45332</v>
      </c>
      <c r="B4" s="5" t="s">
        <v>17</v>
      </c>
      <c r="C4" s="5" t="s">
        <v>6</v>
      </c>
      <c r="D4" s="5">
        <v>97</v>
      </c>
      <c r="E4" s="6">
        <v>114.49</v>
      </c>
      <c r="F4" s="6">
        <v>142</v>
      </c>
      <c r="G4" s="7" t="s">
        <v>62</v>
      </c>
    </row>
    <row r="5" spans="1:9" x14ac:dyDescent="0.3">
      <c r="A5" s="14">
        <v>45336</v>
      </c>
      <c r="B5" s="5" t="s">
        <v>37</v>
      </c>
      <c r="C5" s="5" t="s">
        <v>8</v>
      </c>
      <c r="D5" s="5">
        <v>18</v>
      </c>
      <c r="E5" s="6">
        <v>131.99</v>
      </c>
      <c r="F5" s="6">
        <v>139</v>
      </c>
      <c r="G5" s="7" t="s">
        <v>62</v>
      </c>
    </row>
    <row r="6" spans="1:9" x14ac:dyDescent="0.3">
      <c r="A6" s="14">
        <v>45349</v>
      </c>
      <c r="B6" s="5" t="s">
        <v>25</v>
      </c>
      <c r="C6" s="5" t="s">
        <v>9</v>
      </c>
      <c r="D6" s="5">
        <v>42</v>
      </c>
      <c r="E6" s="6">
        <v>52.25</v>
      </c>
      <c r="F6" s="6">
        <v>63</v>
      </c>
      <c r="G6" s="7" t="s">
        <v>62</v>
      </c>
    </row>
    <row r="7" spans="1:9" x14ac:dyDescent="0.3">
      <c r="A7" s="14">
        <v>45354</v>
      </c>
      <c r="B7" s="5" t="s">
        <v>31</v>
      </c>
      <c r="C7" s="5" t="s">
        <v>8</v>
      </c>
      <c r="D7" s="5">
        <v>14</v>
      </c>
      <c r="E7" s="6">
        <v>133.74</v>
      </c>
      <c r="F7" s="6">
        <v>146</v>
      </c>
      <c r="G7" s="7" t="s">
        <v>62</v>
      </c>
    </row>
    <row r="8" spans="1:9" x14ac:dyDescent="0.3">
      <c r="A8" s="14">
        <v>45354</v>
      </c>
      <c r="B8" s="5" t="s">
        <v>34</v>
      </c>
      <c r="C8" s="5" t="s">
        <v>10</v>
      </c>
      <c r="D8" s="5">
        <v>77</v>
      </c>
      <c r="E8" s="6">
        <v>216.94</v>
      </c>
      <c r="F8" s="6">
        <v>245</v>
      </c>
      <c r="G8" s="7" t="s">
        <v>63</v>
      </c>
    </row>
    <row r="9" spans="1:9" x14ac:dyDescent="0.3">
      <c r="A9" s="14">
        <v>45357</v>
      </c>
      <c r="B9" s="5" t="s">
        <v>19</v>
      </c>
      <c r="C9" s="5" t="s">
        <v>9</v>
      </c>
      <c r="D9" s="5">
        <v>41</v>
      </c>
      <c r="E9" s="6">
        <v>137.94999999999999</v>
      </c>
      <c r="F9" s="6">
        <v>172</v>
      </c>
      <c r="G9" s="7" t="s">
        <v>62</v>
      </c>
    </row>
    <row r="10" spans="1:9" x14ac:dyDescent="0.3">
      <c r="A10" s="14">
        <v>45365</v>
      </c>
      <c r="B10" s="5" t="s">
        <v>13</v>
      </c>
      <c r="C10" s="5" t="s">
        <v>5</v>
      </c>
      <c r="D10" s="5">
        <v>79</v>
      </c>
      <c r="E10" s="6">
        <v>457.39</v>
      </c>
      <c r="F10" s="6">
        <v>576</v>
      </c>
      <c r="G10" s="7" t="s">
        <v>61</v>
      </c>
    </row>
    <row r="11" spans="1:9" x14ac:dyDescent="0.3">
      <c r="A11" s="14">
        <v>45365</v>
      </c>
      <c r="B11" s="5" t="s">
        <v>28</v>
      </c>
      <c r="C11" s="5" t="s">
        <v>6</v>
      </c>
      <c r="D11" s="5">
        <v>6</v>
      </c>
      <c r="E11" s="6">
        <v>308.01</v>
      </c>
      <c r="F11" s="6">
        <v>348</v>
      </c>
      <c r="G11" s="7" t="s">
        <v>61</v>
      </c>
    </row>
    <row r="12" spans="1:9" x14ac:dyDescent="0.3">
      <c r="A12" s="14">
        <v>45366</v>
      </c>
      <c r="B12" s="5" t="s">
        <v>26</v>
      </c>
      <c r="C12" s="5" t="s">
        <v>9</v>
      </c>
      <c r="D12" s="5">
        <v>76</v>
      </c>
      <c r="E12" s="6">
        <v>337.42</v>
      </c>
      <c r="F12" s="6">
        <v>418</v>
      </c>
      <c r="G12" s="7" t="s">
        <v>62</v>
      </c>
    </row>
    <row r="13" spans="1:9" x14ac:dyDescent="0.3">
      <c r="A13" s="14">
        <v>45390</v>
      </c>
      <c r="B13" s="5" t="s">
        <v>35</v>
      </c>
      <c r="C13" s="5" t="s">
        <v>10</v>
      </c>
      <c r="D13" s="5">
        <v>13</v>
      </c>
      <c r="E13" s="6">
        <v>421.53</v>
      </c>
      <c r="F13" s="6">
        <v>443</v>
      </c>
      <c r="G13" s="7" t="s">
        <v>62</v>
      </c>
    </row>
    <row r="14" spans="1:9" x14ac:dyDescent="0.3">
      <c r="A14" s="14">
        <v>45394</v>
      </c>
      <c r="B14" s="5" t="s">
        <v>36</v>
      </c>
      <c r="C14" s="5" t="s">
        <v>10</v>
      </c>
      <c r="D14" s="5">
        <v>58</v>
      </c>
      <c r="E14" s="6">
        <v>351.26</v>
      </c>
      <c r="F14" s="6">
        <v>376</v>
      </c>
      <c r="G14" s="7" t="s">
        <v>62</v>
      </c>
    </row>
    <row r="15" spans="1:9" x14ac:dyDescent="0.3">
      <c r="A15" s="14">
        <v>45396</v>
      </c>
      <c r="B15" s="5" t="s">
        <v>14</v>
      </c>
      <c r="C15" s="5" t="s">
        <v>5</v>
      </c>
      <c r="D15" s="5">
        <v>28</v>
      </c>
      <c r="E15" s="6">
        <v>414.88</v>
      </c>
      <c r="F15" s="6">
        <v>527</v>
      </c>
      <c r="G15" s="7" t="s">
        <v>61</v>
      </c>
    </row>
    <row r="16" spans="1:9" x14ac:dyDescent="0.3">
      <c r="A16" s="14">
        <v>45401</v>
      </c>
      <c r="B16" s="5" t="s">
        <v>20</v>
      </c>
      <c r="C16" s="5" t="s">
        <v>9</v>
      </c>
      <c r="D16" s="5">
        <v>98</v>
      </c>
      <c r="E16" s="6">
        <v>348.79</v>
      </c>
      <c r="F16" s="6">
        <v>394</v>
      </c>
      <c r="G16" s="7" t="s">
        <v>63</v>
      </c>
    </row>
    <row r="17" spans="1:7" x14ac:dyDescent="0.3">
      <c r="A17" s="14">
        <v>45402</v>
      </c>
      <c r="B17" s="5" t="s">
        <v>40</v>
      </c>
      <c r="C17" s="5" t="s">
        <v>8</v>
      </c>
      <c r="D17" s="5">
        <v>22</v>
      </c>
      <c r="E17" s="6">
        <v>269.66000000000003</v>
      </c>
      <c r="F17" s="6">
        <v>337</v>
      </c>
      <c r="G17" s="7" t="s">
        <v>62</v>
      </c>
    </row>
    <row r="18" spans="1:7" x14ac:dyDescent="0.3">
      <c r="A18" s="14">
        <v>45415</v>
      </c>
      <c r="B18" s="5" t="s">
        <v>23</v>
      </c>
      <c r="C18" s="5" t="s">
        <v>7</v>
      </c>
      <c r="D18" s="5">
        <v>38</v>
      </c>
      <c r="E18" s="6">
        <v>25.78</v>
      </c>
      <c r="F18" s="6">
        <v>27</v>
      </c>
      <c r="G18" s="7" t="s">
        <v>63</v>
      </c>
    </row>
    <row r="19" spans="1:7" x14ac:dyDescent="0.3">
      <c r="A19" s="14">
        <v>45420</v>
      </c>
      <c r="B19" s="5" t="s">
        <v>27</v>
      </c>
      <c r="C19" s="5" t="s">
        <v>9</v>
      </c>
      <c r="D19" s="5">
        <v>39</v>
      </c>
      <c r="E19" s="6">
        <v>56.02</v>
      </c>
      <c r="F19" s="6">
        <v>63</v>
      </c>
      <c r="G19" s="7" t="s">
        <v>61</v>
      </c>
    </row>
    <row r="20" spans="1:7" x14ac:dyDescent="0.3">
      <c r="A20" s="14">
        <v>45427</v>
      </c>
      <c r="B20" s="5" t="s">
        <v>24</v>
      </c>
      <c r="C20" s="5" t="s">
        <v>7</v>
      </c>
      <c r="D20" s="5">
        <v>88</v>
      </c>
      <c r="E20" s="6">
        <v>118.94</v>
      </c>
      <c r="F20" s="6">
        <v>142</v>
      </c>
      <c r="G20" s="7" t="s">
        <v>62</v>
      </c>
    </row>
    <row r="21" spans="1:7" x14ac:dyDescent="0.3">
      <c r="A21" s="14">
        <v>45436</v>
      </c>
      <c r="B21" s="5" t="s">
        <v>41</v>
      </c>
      <c r="C21" s="5" t="s">
        <v>8</v>
      </c>
      <c r="D21" s="5">
        <v>8</v>
      </c>
      <c r="E21" s="6">
        <v>308.39999999999998</v>
      </c>
      <c r="F21" s="6">
        <v>355</v>
      </c>
      <c r="G21" s="7" t="s">
        <v>61</v>
      </c>
    </row>
    <row r="22" spans="1:7" x14ac:dyDescent="0.3">
      <c r="A22" s="14">
        <v>45437</v>
      </c>
      <c r="B22" s="5" t="s">
        <v>29</v>
      </c>
      <c r="C22" s="5" t="s">
        <v>6</v>
      </c>
      <c r="D22" s="5">
        <v>45</v>
      </c>
      <c r="E22" s="6">
        <v>224.73</v>
      </c>
      <c r="F22" s="6">
        <v>252</v>
      </c>
      <c r="G22" s="7" t="s">
        <v>61</v>
      </c>
    </row>
    <row r="23" spans="1:7" x14ac:dyDescent="0.3">
      <c r="A23" s="14">
        <v>45439</v>
      </c>
      <c r="B23" s="5" t="s">
        <v>38</v>
      </c>
      <c r="C23" s="5" t="s">
        <v>8</v>
      </c>
      <c r="D23" s="5">
        <v>72</v>
      </c>
      <c r="E23" s="6">
        <v>132.13</v>
      </c>
      <c r="F23" s="6">
        <v>155</v>
      </c>
      <c r="G23" s="7" t="s">
        <v>62</v>
      </c>
    </row>
    <row r="24" spans="1:7" x14ac:dyDescent="0.3">
      <c r="A24" s="14">
        <v>45443</v>
      </c>
      <c r="B24" s="5" t="s">
        <v>15</v>
      </c>
      <c r="C24" s="5" t="s">
        <v>5</v>
      </c>
      <c r="D24" s="5">
        <v>41</v>
      </c>
      <c r="E24" s="6">
        <v>195.39</v>
      </c>
      <c r="F24" s="6">
        <v>238</v>
      </c>
      <c r="G24" s="7" t="s">
        <v>61</v>
      </c>
    </row>
    <row r="25" spans="1:7" x14ac:dyDescent="0.3">
      <c r="A25" s="14">
        <v>45451</v>
      </c>
      <c r="B25" s="5" t="s">
        <v>39</v>
      </c>
      <c r="C25" s="5" t="s">
        <v>8</v>
      </c>
      <c r="D25" s="5">
        <v>50</v>
      </c>
      <c r="E25" s="6">
        <v>253.73</v>
      </c>
      <c r="F25" s="6">
        <v>269</v>
      </c>
      <c r="G25" s="7" t="s">
        <v>62</v>
      </c>
    </row>
    <row r="26" spans="1:7" x14ac:dyDescent="0.3">
      <c r="A26" s="14">
        <v>45460</v>
      </c>
      <c r="B26" s="5" t="s">
        <v>32</v>
      </c>
      <c r="C26" s="5" t="s">
        <v>8</v>
      </c>
      <c r="D26" s="5">
        <v>28</v>
      </c>
      <c r="E26" s="6">
        <v>172</v>
      </c>
      <c r="F26" s="6">
        <v>191</v>
      </c>
      <c r="G26" s="7" t="s">
        <v>61</v>
      </c>
    </row>
    <row r="27" spans="1:7" x14ac:dyDescent="0.3">
      <c r="A27" s="14">
        <v>45461</v>
      </c>
      <c r="B27" s="5" t="s">
        <v>33</v>
      </c>
      <c r="C27" s="5" t="s">
        <v>8</v>
      </c>
      <c r="D27" s="5">
        <v>40</v>
      </c>
      <c r="E27" s="6">
        <v>344.6</v>
      </c>
      <c r="F27" s="6">
        <v>393</v>
      </c>
      <c r="G27" s="7" t="s">
        <v>61</v>
      </c>
    </row>
    <row r="28" spans="1:7" x14ac:dyDescent="0.3">
      <c r="A28" s="14">
        <v>45474</v>
      </c>
      <c r="B28" s="5" t="s">
        <v>18</v>
      </c>
      <c r="C28" s="5" t="s">
        <v>6</v>
      </c>
      <c r="D28" s="5">
        <v>79</v>
      </c>
      <c r="E28" s="6">
        <v>281</v>
      </c>
      <c r="F28" s="6">
        <v>303</v>
      </c>
      <c r="G28" s="7" t="s">
        <v>61</v>
      </c>
    </row>
    <row r="29" spans="1:7" x14ac:dyDescent="0.3">
      <c r="A29" s="14">
        <v>45499</v>
      </c>
      <c r="B29" s="5" t="s">
        <v>42</v>
      </c>
      <c r="C29" s="5" t="s">
        <v>8</v>
      </c>
      <c r="D29" s="5">
        <v>93</v>
      </c>
      <c r="E29" s="6">
        <v>56.66</v>
      </c>
      <c r="F29" s="6">
        <v>67</v>
      </c>
      <c r="G29" s="7" t="s">
        <v>61</v>
      </c>
    </row>
    <row r="30" spans="1:7" x14ac:dyDescent="0.3">
      <c r="A30" s="14">
        <v>45522</v>
      </c>
      <c r="B30" s="5" t="s">
        <v>21</v>
      </c>
      <c r="C30" s="5" t="s">
        <v>9</v>
      </c>
      <c r="D30" s="5">
        <v>82</v>
      </c>
      <c r="E30" s="6">
        <v>39.659999999999997</v>
      </c>
      <c r="F30" s="6">
        <v>50</v>
      </c>
      <c r="G30" s="7" t="s">
        <v>63</v>
      </c>
    </row>
    <row r="31" spans="1:7" x14ac:dyDescent="0.3">
      <c r="A31" s="15">
        <v>45526</v>
      </c>
      <c r="B31" s="9" t="s">
        <v>30</v>
      </c>
      <c r="C31" s="9" t="s">
        <v>6</v>
      </c>
      <c r="D31" s="9">
        <v>62</v>
      </c>
      <c r="E31" s="10">
        <v>311.64</v>
      </c>
      <c r="F31" s="10">
        <v>396</v>
      </c>
      <c r="G31" s="11" t="s">
        <v>62</v>
      </c>
    </row>
  </sheetData>
  <sortState xmlns:xlrd2="http://schemas.microsoft.com/office/spreadsheetml/2017/richdata2" ref="A2:G31">
    <sortCondition ref="A2:A31"/>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Bhupha Palasuk</cp:lastModifiedBy>
  <dcterms:created xsi:type="dcterms:W3CDTF">2024-06-24T07:16:07Z</dcterms:created>
  <dcterms:modified xsi:type="dcterms:W3CDTF">2026-06-12T05:15:04Z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2024-06-24T07:28:05Z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c628c741-8071-4cf5-9f56-4e04e233bedc</vt:lpwstr>
  </property>
  <property fmtid="{D5CDD505-2E9C-101B-9397-08002B2CF9AE}" pid="7" name="MSIP_Label_defa4170-0d19-0005-0004-bc88714345d2_ActionId">
    <vt:lpwstr>f2036a36-fbf3-4b7a-80cd-11f22e78c83d</vt:lpwstr>
  </property>
  <property fmtid="{D5CDD505-2E9C-101B-9397-08002B2CF9AE}" pid="8" name="MSIP_Label_defa4170-0d19-0005-0004-bc88714345d2_ContentBits">
    <vt:lpwstr>0</vt:lpwstr>
  </property>
</Properties>
</file>